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LLM-as-a-judge" sheetId="2" r:id="rId5"/>
    <sheet state="visible" name="Copy of Sheet1" sheetId="3" r:id="rId6"/>
    <sheet state="visible" name="Sheet5" sheetId="4" r:id="rId7"/>
    <sheet state="visible" name="Sheet4" sheetId="5" r:id="rId8"/>
    <sheet state="visible" name="Qwen-2.5-omni" sheetId="6" r:id="rId9"/>
  </sheets>
  <definedNames/>
  <calcPr/>
</workbook>
</file>

<file path=xl/sharedStrings.xml><?xml version="1.0" encoding="utf-8"?>
<sst xmlns="http://schemas.openxmlformats.org/spreadsheetml/2006/main" count="942" uniqueCount="518">
  <si>
    <t>gemma3-27B</t>
  </si>
  <si>
    <t xml:space="preserve">On FeTaQA, we notice that the ROUGE-L scores
themselves don’t vary much between Upper Bound
and Lower Bound. This is because majority of the
N-grams used for computing the metric wouldn’t
involve the image-replaced entity. </t>
  </si>
  <si>
    <t>WikiTQ</t>
  </si>
  <si>
    <t>WikiSQL</t>
  </si>
  <si>
    <t>FetaQA (Rouge L)</t>
  </si>
  <si>
    <t>HybridQA</t>
  </si>
  <si>
    <t>MMTBench</t>
  </si>
  <si>
    <t>Average WikiTQ, WikiSQL, HybridQA</t>
  </si>
  <si>
    <t>Average Performance on WikiTQ &amp; WikiSQL (for pruning vs removal)</t>
  </si>
  <si>
    <t>MMTabQA WikiTQ qwen-2.5-omni-8b</t>
  </si>
  <si>
    <t>EQ</t>
  </si>
  <si>
    <t>AQ (Judge)</t>
  </si>
  <si>
    <t>AQ</t>
  </si>
  <si>
    <t>IQ</t>
  </si>
  <si>
    <t>VQ</t>
  </si>
  <si>
    <t>Average All Subsets</t>
  </si>
  <si>
    <t>Total</t>
  </si>
  <si>
    <t>Total w/o VQ</t>
  </si>
  <si>
    <t>lower bound</t>
  </si>
  <si>
    <t>Baselines MMTabQA</t>
  </si>
  <si>
    <t>partial MMTabQA</t>
  </si>
  <si>
    <t>current SOTA</t>
  </si>
  <si>
    <t>MMTabQA Interleaved Reasoner</t>
  </si>
  <si>
    <t>Row-wise-retrieval</t>
  </si>
  <si>
    <t>Union retrieval</t>
  </si>
  <si>
    <t>Lower bound</t>
  </si>
  <si>
    <t>Full H-STAR on partial input</t>
  </si>
  <si>
    <t>H-STAR partial (1-4) + interleaved (6)</t>
  </si>
  <si>
    <t>captioning finished</t>
  </si>
  <si>
    <t>for captioning, context is important!</t>
  </si>
  <si>
    <t>H-STAR naive captions (1-4) + interleaved (6)</t>
  </si>
  <si>
    <t>captioning at start</t>
  </si>
  <si>
    <t>H-STAR short context captions (1-4) + interleaved (6)</t>
  </si>
  <si>
    <t>captioning 1/2-finished</t>
  </si>
  <si>
    <t>H-STAR detailed context captions (1-4) + interleaved (6)</t>
  </si>
  <si>
    <t>Run</t>
  </si>
  <si>
    <t>naive captions + Interleaved Reasoner</t>
  </si>
  <si>
    <t>short context captions + Interleaved Reasoner</t>
  </si>
  <si>
    <t>detailed context captions + Interleaved Reasoner</t>
  </si>
  <si>
    <t>Augmenting Vision</t>
  </si>
  <si>
    <t>short context captions + Interleaved Reasoner + captions</t>
  </si>
  <si>
    <t>short context captions + Interleaved Reasoner + captions v2</t>
  </si>
  <si>
    <t>WICHTIG</t>
  </si>
  <si>
    <t>Images needed in reasoner</t>
  </si>
  <si>
    <t>short context captions + short caption Reasoner</t>
  </si>
  <si>
    <t>Filter as remover</t>
  </si>
  <si>
    <t>As Remover: short context captions + Interleaved Reasoner</t>
  </si>
  <si>
    <t>Query-dependent short captions + Interleaved reasoner</t>
  </si>
  <si>
    <t>Upper Bound</t>
  </si>
  <si>
    <t>H-STAR oracle filtering + interleaved reasoner</t>
  </si>
  <si>
    <t>H-STAR oracle filtering + oracle reasoning</t>
  </si>
  <si>
    <t>HOW OFTEN IS THE LLM-AS-A-JUDGE CORRECT?</t>
  </si>
  <si>
    <t>WikiTQ ¹ (Accuracy)</t>
  </si>
  <si>
    <t>Qwen3-32B</t>
  </si>
  <si>
    <t>Qwen3 w/ H-STAR as pruner (intersection)</t>
  </si>
  <si>
    <t>Qwen3 w/ H-STAR as pruner (union)</t>
  </si>
  <si>
    <t>full</t>
  </si>
  <si>
    <t>TODO: section evaluating on when to add col values (due to eval metric: tradeoff between semantic eval (llm-as-a-judge) and its disadvantages and strict exact match)</t>
  </si>
  <si>
    <t>Col Values</t>
  </si>
  <si>
    <t>short context captions + Interleaved Reasoner + other col values</t>
  </si>
  <si>
    <t>H-STAR oracle filtering + interleaved reasoner + col values</t>
  </si>
  <si>
    <t>gpt-4o-mini</t>
  </si>
  <si>
    <t>Gemma3 (27B)</t>
  </si>
  <si>
    <t>WikiTQ (EM Acc)</t>
  </si>
  <si>
    <t>tex-only col filter</t>
  </si>
  <si>
    <t>skip step 1 (SQL col)</t>
  </si>
  <si>
    <t>skip step 2 (text col)</t>
  </si>
  <si>
    <t>skip step 3 (SQL row)</t>
  </si>
  <si>
    <t>skip step 4 (text row)</t>
  </si>
  <si>
    <t>skip step 5 (SQL reasoning)</t>
  </si>
  <si>
    <t>skipping everythng SQL-related</t>
  </si>
  <si>
    <t>skip step 1, 3, 5</t>
  </si>
  <si>
    <t>skip step 3, 5</t>
  </si>
  <si>
    <t>Skip step 5: Arguement to leave out this step for our multimodal reasoning</t>
  </si>
  <si>
    <t>ID</t>
  </si>
  <si>
    <t>Question</t>
  </si>
  <si>
    <t>Given Answer</t>
  </si>
  <si>
    <t>Gold Answer</t>
  </si>
  <si>
    <t>LLM Score</t>
  </si>
  <si>
    <t>Human Agrees?</t>
  </si>
  <si>
    <t>wikitq_1824</t>
  </si>
  <si>
    <t>who won the most medals?</t>
  </si>
  <si>
    <t>Cuba</t>
  </si>
  <si>
    <t>CORRECT</t>
  </si>
  <si>
    <t>Yes</t>
  </si>
  <si>
    <t>wikitq_409</t>
  </si>
  <si>
    <t>what is the name of the first club listed on this chart?</t>
  </si>
  <si>
    <t>Servette</t>
  </si>
  <si>
    <t>wikisql_1733</t>
  </si>
  <si>
    <t>What is the High rebounds of a Game with 56?</t>
  </si>
  <si>
    <t>chris bosh</t>
  </si>
  <si>
    <t>charlie villanueva (11)</t>
  </si>
  <si>
    <t>INCORRECT</t>
  </si>
  <si>
    <t>wikisql_1239</t>
  </si>
  <si>
    <t>What site has november 30, 2006 as the date?</t>
  </si>
  <si>
    <t>iowa city</t>
  </si>
  <si>
    <t>wikisql_884</t>
  </si>
  <si>
    <t>What was the home team in the match where the away team scored 15.12 (102)?</t>
  </si>
  <si>
    <t>melbourne</t>
  </si>
  <si>
    <t>wikitq_2286</t>
  </si>
  <si>
    <t>which country won a silver but didn't win a gold or bronze?</t>
  </si>
  <si>
    <t>United States</t>
  </si>
  <si>
    <t>United States (USA)</t>
  </si>
  <si>
    <t>wikitq_1679</t>
  </si>
  <si>
    <t>what was the actor's only movie in 2006?</t>
  </si>
  <si>
    <t>Seetha</t>
  </si>
  <si>
    <t>Kedi</t>
  </si>
  <si>
    <t>wikisql_6162</t>
  </si>
  <si>
    <t>What home team has had a crowd bigger than 20,000?</t>
  </si>
  <si>
    <t>collingwood</t>
  </si>
  <si>
    <t>geelong</t>
  </si>
  <si>
    <t>wikitq_1424</t>
  </si>
  <si>
    <t>who placed higher, bradl or gadea?</t>
  </si>
  <si>
    <t>Bradl</t>
  </si>
  <si>
    <t>Sergio Gadea</t>
  </si>
  <si>
    <t>wikisql_4139</t>
  </si>
  <si>
    <t>Which player has the score 72-67-69=208?</t>
  </si>
  <si>
    <t>golfer in the image</t>
  </si>
  <si>
    <t>steve flesch</t>
  </si>
  <si>
    <t>wikitq_520</t>
  </si>
  <si>
    <t>who has won the league the most?</t>
  </si>
  <si>
    <t>Будівельник and Azovmash</t>
  </si>
  <si>
    <t>Budivelnyk</t>
  </si>
  <si>
    <t>wikitq_488</t>
  </si>
  <si>
    <t>what is the only proposed community in the south asia region?</t>
  </si>
  <si>
    <t>SAARC</t>
  </si>
  <si>
    <t>South Asian Association for Regional Cooperation</t>
  </si>
  <si>
    <t>wikitq_1535</t>
  </si>
  <si>
    <t>who is the only player who is not a fly-half?</t>
  </si>
  <si>
    <t>wing</t>
  </si>
  <si>
    <t>Mirco Bergamasco</t>
  </si>
  <si>
    <t>wikisql_809</t>
  </si>
  <si>
    <t>Which venue has a week smaller than 2?</t>
  </si>
  <si>
    <t>stadium</t>
  </si>
  <si>
    <t>kezar stadium</t>
  </si>
  <si>
    <t>No</t>
  </si>
  <si>
    <t>wikisql_1038</t>
  </si>
  <si>
    <t>Which stadium held the game that 65,677 people attended?</t>
  </si>
  <si>
    <t>paycor stadium</t>
  </si>
  <si>
    <t>paul brown stadium</t>
  </si>
  <si>
    <t>is the same stadium, just recently renamed</t>
  </si>
  <si>
    <t>wikisql_5506</t>
  </si>
  <si>
    <t>Which Opponent has Attendance of 71,740?</t>
  </si>
  <si>
    <t>buffalo bills</t>
  </si>
  <si>
    <t>at buffalo bills</t>
  </si>
  <si>
    <t>wikitq_434</t>
  </si>
  <si>
    <t>what nationality was the woman who won first place?</t>
  </si>
  <si>
    <t>China</t>
  </si>
  <si>
    <t>wikisql_484</t>
  </si>
  <si>
    <t>What is every team on March 5?</t>
  </si>
  <si>
    <t>golden state warriors</t>
  </si>
  <si>
    <t>warriors</t>
  </si>
  <si>
    <t>wikisql_6155</t>
  </si>
  <si>
    <t>What is the venue of the 1990 Asian games?</t>
  </si>
  <si>
    <t>beijing, china</t>
  </si>
  <si>
    <t>beijing</t>
  </si>
  <si>
    <t>wikisql_4100</t>
  </si>
  <si>
    <t>What Title is listed for the Year of 1999?</t>
  </si>
  <si>
    <t>cold feet</t>
  </si>
  <si>
    <t>wikisql_838</t>
  </si>
  <si>
    <t>Tell me the nation for bronze more than 0 and total more than 8 with gold of 4</t>
  </si>
  <si>
    <t>mexico</t>
  </si>
  <si>
    <t>wikisql_4586</t>
  </si>
  <si>
    <t>Name the nickname for enrollment being 9000</t>
  </si>
  <si>
    <t>rhode island college</t>
  </si>
  <si>
    <t>anchormen</t>
  </si>
  <si>
    <t>wikisql_1784</t>
  </si>
  <si>
    <t>WHich format has a Frequency of 99.3 fm?</t>
  </si>
  <si>
    <t>adult contemporary</t>
  </si>
  <si>
    <t>wikitq_106</t>
  </si>
  <si>
    <t>what was the first movie that this actor received an award for starring in?</t>
  </si>
  <si>
    <t>Chaalbaaz</t>
  </si>
  <si>
    <t>Challenge</t>
  </si>
  <si>
    <t>wikitq_2615</t>
  </si>
  <si>
    <t>who is the only driver from spain?</t>
  </si>
  <si>
    <t>Alex Soler-Roig</t>
  </si>
  <si>
    <t>wikisql_4151</t>
  </si>
  <si>
    <t>What country has a prominence less than 1292 and an Isolation (km) of 14?</t>
  </si>
  <si>
    <t>vestfold</t>
  </si>
  <si>
    <t>troms</t>
  </si>
  <si>
    <t>wikisql_2801</t>
  </si>
  <si>
    <t>Which away team scored at 15.17 (107) at an away game?</t>
  </si>
  <si>
    <t>st kilda</t>
  </si>
  <si>
    <t>wikisql_1779</t>
  </si>
  <si>
    <t>What is the High assists for march 25?</t>
  </si>
  <si>
    <t>steve francis</t>
  </si>
  <si>
    <t>rafer alston (10)</t>
  </si>
  <si>
    <t>wikitq_2547</t>
  </si>
  <si>
    <t>george howe and jack howe played for which nation?</t>
  </si>
  <si>
    <t>England</t>
  </si>
  <si>
    <t>wikisql_754</t>
  </si>
  <si>
    <t>Who is the player when the highest score is 84?</t>
  </si>
  <si>
    <t>Marcus Trescothick</t>
  </si>
  <si>
    <t>craig kieswetter category:articles with hcards</t>
  </si>
  <si>
    <t>wikisql_2741</t>
  </si>
  <si>
    <t>What nation has 187.84 points?</t>
  </si>
  <si>
    <t>united kingdom</t>
  </si>
  <si>
    <t>wikitq_1674</t>
  </si>
  <si>
    <t>what film did she star in after her special appearance in teri meri kahaani?</t>
  </si>
  <si>
    <t>Kyaa Super Kool Hain Hum</t>
  </si>
  <si>
    <t>wikitq_1519</t>
  </si>
  <si>
    <t>which country has the most people?</t>
  </si>
  <si>
    <t>France</t>
  </si>
  <si>
    <t>wikisql_3451</t>
  </si>
  <si>
    <t>Name the Winning driver of mercedes on 22 august?</t>
  </si>
  <si>
    <t>christian lautenschlager</t>
  </si>
  <si>
    <t>ralph depalma</t>
  </si>
  <si>
    <t>wikitq_1584</t>
  </si>
  <si>
    <t>who placed first in round 8?</t>
  </si>
  <si>
    <t>Alain Prost</t>
  </si>
  <si>
    <t>wikisql_3108</t>
  </si>
  <si>
    <t>What player has a number of playoff games played greater than 0?</t>
  </si>
  <si>
    <t>buffalo sabres</t>
  </si>
  <si>
    <t>cody hodgson</t>
  </si>
  <si>
    <t>wikisql_2862</t>
  </si>
  <si>
    <t>Which driver has a Time/Retired of 2:45:46.2?</t>
  </si>
  <si>
    <t>juan manuel fangio</t>
  </si>
  <si>
    <t>nino farina</t>
  </si>
  <si>
    <t>wikisql_1560</t>
  </si>
  <si>
    <t>After 2009, which Artist published the Song, "Party Like A DJ"?</t>
  </si>
  <si>
    <t>trina</t>
  </si>
  <si>
    <t>the glam feat. dwaine, flo rida &amp; trina</t>
  </si>
  <si>
    <t>wikitq_711</t>
  </si>
  <si>
    <t>who had the most successful defenses?</t>
  </si>
  <si>
    <t>Both</t>
  </si>
  <si>
    <t>Joe Calzaghe</t>
  </si>
  <si>
    <t>wikisql_4754</t>
  </si>
  <si>
    <t>What is the away team that had a score of 15.9 (99)?</t>
  </si>
  <si>
    <t>carlton</t>
  </si>
  <si>
    <t>wikisql_6012</t>
  </si>
  <si>
    <t>What car/motorcycle goes 91.813mph?</t>
  </si>
  <si>
    <t>car</t>
  </si>
  <si>
    <t>fiat</t>
  </si>
  <si>
    <t>wikitq_2045</t>
  </si>
  <si>
    <t>name all the nations that won at least one gold medal.</t>
  </si>
  <si>
    <t>USA, Jamaica, Netherlands, Bahamas, Ukraine, East Germany, Greece, Soviet Union</t>
  </si>
  <si>
    <t>wikisql_3428</t>
  </si>
  <si>
    <t>What is the Away team of Tie no 1?</t>
  </si>
  <si>
    <t>crystal palace</t>
  </si>
  <si>
    <t>wikitq_1291</t>
  </si>
  <si>
    <t>what was manchester's first defeat on the list?</t>
  </si>
  <si>
    <t>Plymouth Argyle</t>
  </si>
  <si>
    <t>wikisql_6271</t>
  </si>
  <si>
    <t>What's the platform that has Rockstar Games as the developer?</t>
  </si>
  <si>
    <t>xbox 360</t>
  </si>
  <si>
    <t>playstation 3 , xbox 360</t>
  </si>
  <si>
    <t>wikisql_2030</t>
  </si>
  <si>
    <t>What is the away team for the tie no. 29?</t>
  </si>
  <si>
    <t>port vale</t>
  </si>
  <si>
    <t>wikisql_3152</t>
  </si>
  <si>
    <t>Which home team has a venue of windy hill?</t>
  </si>
  <si>
    <t>essendon</t>
  </si>
  <si>
    <t>wikisql_377</t>
  </si>
  <si>
    <t>Name the rufus guest for episode 1x07</t>
  </si>
  <si>
    <t>angus deayton</t>
  </si>
  <si>
    <t>charlie higson</t>
  </si>
  <si>
    <t>wikitq_1139</t>
  </si>
  <si>
    <t>what is the next album listed after 1993?</t>
  </si>
  <si>
    <t>five</t>
  </si>
  <si>
    <t>Five</t>
  </si>
  <si>
    <t>wikitq_750</t>
  </si>
  <si>
    <t>which teams were the last to qualify?</t>
  </si>
  <si>
    <t>Auckland Aces and Otago Volts</t>
  </si>
  <si>
    <t>Auckland Aces</t>
  </si>
  <si>
    <t>wikisql_960</t>
  </si>
  <si>
    <t>Who is the home team at brunswick street oval?</t>
  </si>
  <si>
    <t>fitzroy</t>
  </si>
  <si>
    <t>wikisql_1968</t>
  </si>
  <si>
    <t>Which High points have a Record of 27–29?</t>
  </si>
  <si>
    <t>basketball player</t>
  </si>
  <si>
    <t>richard jefferson (29)</t>
  </si>
  <si>
    <t>wikitq_1307</t>
  </si>
  <si>
    <t>name one nation that did not earn a bronze medal.</t>
  </si>
  <si>
    <t>wikisql_1041</t>
  </si>
  <si>
    <t>Which team's home is the Western Oval?</t>
  </si>
  <si>
    <t>western bulldogs</t>
  </si>
  <si>
    <t>footscray</t>
  </si>
  <si>
    <t>wikitq_1654</t>
  </si>
  <si>
    <t>what is the first name ranked?</t>
  </si>
  <si>
    <t>antonio david jiménez</t>
  </si>
  <si>
    <t>Alberto García</t>
  </si>
  <si>
    <t>wikisql_3454</t>
  </si>
  <si>
    <t>What is the Home team of Tie no 2?</t>
  </si>
  <si>
    <t>queens park rangers</t>
  </si>
  <si>
    <t>wikisql_1781</t>
  </si>
  <si>
    <t>Who is the Brazil scorer who scored 6-0?</t>
  </si>
  <si>
    <t>arthur friedenreich</t>
  </si>
  <si>
    <t>friedenreich (3), neco (2), haroldo</t>
  </si>
  <si>
    <t>wikisql_4655</t>
  </si>
  <si>
    <t>In which series did Lecor Sports participate?</t>
  </si>
  <si>
    <t>f3 sudamericana petrobras</t>
  </si>
  <si>
    <t>formula three sudamericana</t>
  </si>
  <si>
    <t>wikisql_3204</t>
  </si>
  <si>
    <t>Who was the away team at the game held at Arden Street Oval?</t>
  </si>
  <si>
    <t>wikitq_2664</t>
  </si>
  <si>
    <t>which maryland congressman was elected with the largest percentage of the vote?</t>
  </si>
  <si>
    <t>Ben Cardin</t>
  </si>
  <si>
    <t>Albert Wynn</t>
  </si>
  <si>
    <t>wikisql_3292</t>
  </si>
  <si>
    <t>Which tournament had Toshiaki Sakai as an opponent in the final on a grass surface?</t>
  </si>
  <si>
    <t>lahore</t>
  </si>
  <si>
    <t>wikisql_3047</t>
  </si>
  <si>
    <t>Who is the away team that scored 12.17 (89)?</t>
  </si>
  <si>
    <t>wikisql_659</t>
  </si>
  <si>
    <t>Name the country that has the yen</t>
  </si>
  <si>
    <t>japan</t>
  </si>
  <si>
    <t>wikisql_1601</t>
  </si>
  <si>
    <t>When has a Site of tainan city and a Score of 8–6?</t>
  </si>
  <si>
    <t>wikitq_1169</t>
  </si>
  <si>
    <t>who is the only team this team faced in january which was during the cotton bowl?</t>
  </si>
  <si>
    <t>K-STATE</t>
  </si>
  <si>
    <t>Kansas State</t>
  </si>
  <si>
    <t>wikisql_30</t>
  </si>
  <si>
    <t>What was the constructor for round 15?</t>
  </si>
  <si>
    <t>mclaren</t>
  </si>
  <si>
    <t>mclaren - ford</t>
  </si>
  <si>
    <t>wikisql_5978</t>
  </si>
  <si>
    <t>What home team has a score of 5 - 5?</t>
  </si>
  <si>
    <t>flamengo</t>
  </si>
  <si>
    <t>vitória</t>
  </si>
  <si>
    <t>wikisql_1237</t>
  </si>
  <si>
    <t>Which Opponent has a Game of 31?</t>
  </si>
  <si>
    <t>phoenix coyotes</t>
  </si>
  <si>
    <t>@ atlanta thrashers</t>
  </si>
  <si>
    <t>wikitq_2677</t>
  </si>
  <si>
    <t>who was the first recipient of the guardian of zion award in the 21st century?</t>
  </si>
  <si>
    <t>Cynthia Ozick</t>
  </si>
  <si>
    <t>Sir Martin Gilbert</t>
  </si>
  <si>
    <t>wikisql_4800</t>
  </si>
  <si>
    <t>What was the Opponents in Final during the match with a Score in Final of 6–4, 3–6, 5–7?</t>
  </si>
  <si>
    <t>nadia petrova and katarina srebotnik</t>
  </si>
  <si>
    <t>giulia casoni mariya koryttseva</t>
  </si>
  <si>
    <t>wikisql_3443</t>
  </si>
  <si>
    <t>Who is the player from a round less than 13 and has a pick of 74?</t>
  </si>
  <si>
    <t>dave leggett</t>
  </si>
  <si>
    <t>wikisql_1649</t>
  </si>
  <si>
    <t>Which country had 1 Bronze, 1 Silver, with a total of 3 medals?</t>
  </si>
  <si>
    <t>uzbekistan</t>
  </si>
  <si>
    <t>canada</t>
  </si>
  <si>
    <t>wikisql_6352</t>
  </si>
  <si>
    <t>On songs with track numbers smaller than number 17 and catalogues of LSP 2231, who are the writer(s)?</t>
  </si>
  <si>
    <t>david jones and theodore williams jr., jesse stone, stan kesler</t>
  </si>
  <si>
    <t>otis blackwell</t>
  </si>
  <si>
    <t>wikisql_825</t>
  </si>
  <si>
    <t>Tell me the tournament with a hard surface for 6–1, 6–2</t>
  </si>
  <si>
    <t>israel</t>
  </si>
  <si>
    <t>kalgoorlie , australia</t>
  </si>
  <si>
    <t>wikisql_2540</t>
  </si>
  <si>
    <t>who is the opponent in the final when the year is before 1883?</t>
  </si>
  <si>
    <t>patrick bowden-smith</t>
  </si>
  <si>
    <t>william renshaw</t>
  </si>
  <si>
    <t>wikitq_916</t>
  </si>
  <si>
    <t>which school has no cws appearances?</t>
  </si>
  <si>
    <t>Florida State University</t>
  </si>
  <si>
    <t>Fresno State</t>
  </si>
  <si>
    <t>wikisql_979</t>
  </si>
  <si>
    <t>What was the away team against which the home team scored 10.14 (74)?</t>
  </si>
  <si>
    <t>wikitq_525</t>
  </si>
  <si>
    <t>which touchstone energy 300 top 10 driver also came in first at the auto club 300?</t>
  </si>
  <si>
    <t>Chad Chaffin</t>
  </si>
  <si>
    <t>Matt Kenseth</t>
  </si>
  <si>
    <t>wikisql_2395</t>
  </si>
  <si>
    <t>what is the country when the player is bill nary?</t>
  </si>
  <si>
    <t>united states of america</t>
  </si>
  <si>
    <t>united states</t>
  </si>
  <si>
    <t>wikisql_3799</t>
  </si>
  <si>
    <t>what is the competition when the result is won and the date is september 13, 1996?</t>
  </si>
  <si>
    <t>tiger cup 96</t>
  </si>
  <si>
    <t>1996 tiger cup</t>
  </si>
  <si>
    <t>wikisql_1613</t>
  </si>
  <si>
    <t>Which name's height in centimeters is 178 when its weight in kilograms is less than 91?</t>
  </si>
  <si>
    <t>Step 1: The question asks for the name of the player whose height is 178 cm and weight is less than 91 kg. We need to scan the table to find players that meet these criteria.
- Mike Curran: 175 cm, 78 kg (height not 178 cm)
- Cap Raeder: 183 cm, 82 kg (height not 178 cm)
- Mike Christie: 183 cm, 86 kg (height not 178 cm)
- Gary Sargent: 178 cm, 91 kg (weight not less than 91 kg)
- Lou Nanne: 183 cm, 82 kg (height not 178 cm)
- Joe Noris: 183 cm, 84 kg (height not 178 cm)
- First image: 191 cm, 87 kg (height not 178 cm)
- Alan Hangsleben: 185 cm, 89 kg (height not 178 cm)
- Second image: 188 cm, 86 kg (height not 178 cm)
- Gerry O'flaherty: 175 cm, 79 kg (height not 178 cm)
- Third image: 165 cm, 77 kg (height not 178 cm)
- Fred Ahern: 183 cm, 82 kg (height not 178 cm)
- Fourth image: 185 cm, 86 kg (height not 178 cm)
- Fifth image: 193 cm, 82 kg (height not 178 cm)
- Warren "butch" williams: 180 cm, 89 kg (height not 178 cm)
- Dan Bolduc: 175 cm, 86 kg (height not 178 cm)
- Sixth image: 178 cm, 70 kg (height is 178 cm and weight is less than 91 kg)
- Mike Polich: 173 cm, 77 kg (height not 178 cm)
The player that meets the criteria is the</t>
  </si>
  <si>
    <t>robbie ftorek</t>
  </si>
  <si>
    <t>wikitq_1084</t>
  </si>
  <si>
    <t>which city is served by the most full-power stations?</t>
  </si>
  <si>
    <t>Step 1: The table lists area served, city of license, and network for various television stations. To determine which city is served by the most full-power stations, we need to count the number of rows associated with each city. By visually inspecting the table, we can see that Indianapolis appears in multiple rows (specifically, rows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t>
  </si>
  <si>
    <t>Indianapolis</t>
  </si>
  <si>
    <t>wikisql_683</t>
  </si>
  <si>
    <t>Name the high points for april 8</t>
  </si>
  <si>
    <t>kobe bryant</t>
  </si>
  <si>
    <t>kobe bryant (24)</t>
  </si>
  <si>
    <t>wikisql_2382</t>
  </si>
  <si>
    <t>Who did they play when the score was 95-114?</t>
  </si>
  <si>
    <t>sacramento kings</t>
  </si>
  <si>
    <t>cincinnati royals</t>
  </si>
  <si>
    <t>wikisql_710</t>
  </si>
  <si>
    <t>Who was the team on March 18?</t>
  </si>
  <si>
    <t>new york knicks</t>
  </si>
  <si>
    <t>new york</t>
  </si>
  <si>
    <t>wikisql_5406</t>
  </si>
  <si>
    <t>Which object type had an NGC number greater than 6357 and a declination (J2000) of °45′34″?</t>
  </si>
  <si>
    <t>nebula</t>
  </si>
  <si>
    <t>planetary nebula</t>
  </si>
  <si>
    <t>wikisql_3709</t>
  </si>
  <si>
    <t>Which Country has a Player of jodie mudd?</t>
  </si>
  <si>
    <t>wikisql_4744</t>
  </si>
  <si>
    <t>Who was the away team when the home team scored 17.17 (119)?</t>
  </si>
  <si>
    <t>sydney</t>
  </si>
  <si>
    <t>south melbourne</t>
  </si>
  <si>
    <t>wikitq_2340</t>
  </si>
  <si>
    <t>who was the youngest living president?</t>
  </si>
  <si>
    <t>William Howard Taft</t>
  </si>
  <si>
    <t>Theodore Roosevelt</t>
  </si>
  <si>
    <t>wikisql_1566</t>
  </si>
  <si>
    <t>What school/club team did Amal McCaskill play for?</t>
  </si>
  <si>
    <t>marquette</t>
  </si>
  <si>
    <t>wikitq_2287</t>
  </si>
  <si>
    <t>who was the last reigning champion?</t>
  </si>
  <si>
    <t>Lanny Poffo</t>
  </si>
  <si>
    <t>wikisql_1267</t>
  </si>
  <si>
    <t>Name the opponent on november 22, 1942</t>
  </si>
  <si>
    <t>brooklyn tigers</t>
  </si>
  <si>
    <t>brooklyn dodgers</t>
  </si>
  <si>
    <t>wikisql_6057</t>
  </si>
  <si>
    <t>What is the T8 Place Player?</t>
  </si>
  <si>
    <t>golfer</t>
  </si>
  <si>
    <t>fred couples</t>
  </si>
  <si>
    <t>wikisql_1531</t>
  </si>
  <si>
    <t>What is the Hometown of Tim Williams?</t>
  </si>
  <si>
    <t>pontiac, michigan</t>
  </si>
  <si>
    <t>pontiac, mi (pontiac northern)</t>
  </si>
  <si>
    <t>wikisql_4246</t>
  </si>
  <si>
    <t>Who was the winner of stage 11?</t>
  </si>
  <si>
    <t>learco guerra</t>
  </si>
  <si>
    <t>learco guerra ( ita )</t>
  </si>
  <si>
    <t>wikisql_3770</t>
  </si>
  <si>
    <t>What is the Away team at the game with a Score of 1 – 0 and Attendance of 1,791?</t>
  </si>
  <si>
    <t>huddersfield town</t>
  </si>
  <si>
    <t>wikisql_3157</t>
  </si>
  <si>
    <t>What is the name of the away team that played a home team who scored 11.16 (82)?</t>
  </si>
  <si>
    <t>not specified</t>
  </si>
  <si>
    <t>wikisql_820</t>
  </si>
  <si>
    <t>Who was the partner for the game on October 20, 2013?</t>
  </si>
  <si>
    <t>Anastasia Rodionova</t>
  </si>
  <si>
    <t>anastasia rodionova</t>
  </si>
  <si>
    <t>wikitq_2266</t>
  </si>
  <si>
    <t>which nation has the most bronze medals?</t>
  </si>
  <si>
    <t>United States of America</t>
  </si>
  <si>
    <t>wikisql_5575</t>
  </si>
  <si>
    <t>What venue has 7964 pb notes?</t>
  </si>
  <si>
    <t>buenos aires</t>
  </si>
  <si>
    <t>hengelo , netherlands</t>
  </si>
  <si>
    <t>Number of "Yes":</t>
  </si>
  <si>
    <t>Number of "No":</t>
  </si>
  <si>
    <t>For presentation: take average scores per dataset</t>
  </si>
  <si>
    <t>w/o VQ, AQ</t>
  </si>
  <si>
    <t>TODO</t>
  </si>
  <si>
    <t>catpioning needs ~24h</t>
  </si>
  <si>
    <t>partial input (i.e. removed images) + interleaved Reasoner</t>
  </si>
  <si>
    <t>naive captions + naive caption Reasoner</t>
  </si>
  <si>
    <t>detailed context captions + detailed caption Reasoner</t>
  </si>
  <si>
    <t>WikiTQ (Acc)</t>
  </si>
  <si>
    <t>TabFact (Acc)</t>
  </si>
  <si>
    <t>WikiSQL (Acc)</t>
  </si>
  <si>
    <t>SciTab (F1)</t>
  </si>
  <si>
    <t>Feverous (Acc)</t>
  </si>
  <si>
    <t>HybridQA (EM)</t>
  </si>
  <si>
    <t>TAT-QA (EM)</t>
  </si>
  <si>
    <t>tabular</t>
  </si>
  <si>
    <t>H-STAR</t>
  </si>
  <si>
    <t>arXiv</t>
  </si>
  <si>
    <t>69.56% (GPT-3.5-Turbo), 68.62% (PaLM-2), 74.93% (GPT-4o-mini), 73.14% (Gemini-1.5), 75.76% (Llama-3 70B)</t>
  </si>
  <si>
    <t>85.03% (GPT-3.5-Turbo), 86.51% (PaLM-2), 89.42% (GPT-4o-mini), 89.08% (Gemini-1.5), 89.23% (Llama-3  70B)</t>
  </si>
  <si>
    <t>-</t>
  </si>
  <si>
    <t>ALTER</t>
  </si>
  <si>
    <t>67.40% (GPT-3.5-Turbo)</t>
  </si>
  <si>
    <t>84.30% (GPT-3.5-Turbo)</t>
  </si>
  <si>
    <t>Protrix</t>
  </si>
  <si>
    <t>EMNLP</t>
  </si>
  <si>
    <t>65.2% (GPT-3.5-Turbo)</t>
  </si>
  <si>
    <t>83.5% (GPT-3.5-Turbo)</t>
  </si>
  <si>
    <t>67.4 (Llama-2-7B)</t>
  </si>
  <si>
    <t>45.0 (Llama-2-7B)</t>
  </si>
  <si>
    <t>65.8% (GPT-3.5-Turbo)</t>
  </si>
  <si>
    <t>42.9 (Llama-2-7B)</t>
  </si>
  <si>
    <t>50.1 (Llama-2-7B)</t>
  </si>
  <si>
    <t>Table-LLaVa</t>
  </si>
  <si>
    <t>ACL</t>
  </si>
  <si>
    <t>20.41 (Llava 1.5 13B -based, which is Vicuna-1.5 based, which is based on Llama 2)</t>
  </si>
  <si>
    <t>65% (Llava 1.5 13B -based, which is Vicuna-1.5 based, which is based on Llama 2)</t>
  </si>
  <si>
    <t>15.67 (Llava 1.5 13B -based, which is Vicuna-1.5 based, which is based on Llama 2)</t>
  </si>
  <si>
    <t>(only finance)</t>
  </si>
  <si>
    <t>HProPro</t>
  </si>
  <si>
    <t>48.7 (GPT-4)</t>
  </si>
  <si>
    <t>TabLap</t>
  </si>
  <si>
    <t>AAAI</t>
  </si>
  <si>
    <r>
      <rPr>
        <rFont val="Arial"/>
        <b/>
        <color theme="1"/>
      </rPr>
      <t xml:space="preserve">76.6 </t>
    </r>
    <r>
      <rPr>
        <rFont val="Arial"/>
        <b val="0"/>
        <color theme="1"/>
      </rPr>
      <t>(fine-tuned llama3 8B &amp; gpt-3.5 turbo)</t>
    </r>
  </si>
  <si>
    <t>SUQL</t>
  </si>
  <si>
    <t>NAACL</t>
  </si>
  <si>
    <r>
      <rPr>
        <rFont val="Arial"/>
        <b/>
        <color theme="1"/>
      </rPr>
      <t xml:space="preserve">59.00 </t>
    </r>
    <r>
      <rPr>
        <rFont val="Arial"/>
        <b val="0"/>
        <color theme="1"/>
      </rPr>
      <t>(GPT-4)</t>
    </r>
  </si>
  <si>
    <t>TableLlama</t>
  </si>
  <si>
    <t>31.6 (Llama-2-7B)</t>
  </si>
  <si>
    <t>82.6 (Llama-2-7B)</t>
  </si>
  <si>
    <t>41.7 (Llama-2-7B)</t>
  </si>
  <si>
    <t>29.2 (Llama-2-7B)</t>
  </si>
  <si>
    <t>56.8 (Llama-2-7B)</t>
  </si>
  <si>
    <t>33.3 (Llama-2-7B)</t>
  </si>
  <si>
    <t>38.3 (Llama-2-7B)</t>
  </si>
  <si>
    <t>Find downsides of HProPro and SUQL</t>
  </si>
  <si>
    <t>TAT-LLM: domain-specific</t>
  </si>
  <si>
    <t>Find downsides of TabLap</t>
  </si>
  <si>
    <t>What I want to do: have the overview table comparing the main core ideas that are present in literature</t>
  </si>
  <si>
    <t>Then argue why we exclude some and add this table, showing that context pruning works:</t>
  </si>
  <si>
    <t>Model used</t>
  </si>
  <si>
    <t>GPT-3.5-Turbo</t>
  </si>
  <si>
    <t>Llava 1.5 13B</t>
  </si>
  <si>
    <t>Llama-2-7B</t>
  </si>
  <si>
    <t>GPT-4</t>
  </si>
  <si>
    <t>Llama3+8B &amp; gpt-3.5 turbo</t>
  </si>
  <si>
    <t>qwen-2.5-omni-7B</t>
  </si>
  <si>
    <t>partial</t>
  </si>
  <si>
    <t>Total number of interleaved q/a-instances</t>
  </si>
  <si>
    <t>interleaved</t>
  </si>
  <si>
    <t>time per example (s)</t>
  </si>
  <si>
    <t>captioned</t>
  </si>
  <si>
    <t>H-STAR w/o images, i.e. partial (1-6)</t>
  </si>
  <si>
    <t>Total time per experiment (h)</t>
  </si>
  <si>
    <t>Total number of experiments</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</si>
</sst>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color rgb="FF999999"/>
      <name val="Arial"/>
      <scheme val="minor"/>
    </font>
    <font>
      <color theme="1"/>
      <name val="Arial"/>
      <scheme val="minor"/>
    </font>
    <font>
      <b/>
      <color theme="1"/>
      <name val="Arial"/>
      <scheme val="minor"/>
    </font>
    <font>
      <b/>
      <color rgb="FF999999"/>
      <name val="Arial"/>
      <scheme val="minor"/>
    </font>
    <font>
      <color rgb="FF000000"/>
      <name val="Arial"/>
    </font>
    <font>
      <color rgb="FF000000"/>
      <name val="Monospace"/>
    </font>
    <font/>
    <font>
      <b/>
      <color rgb="FFD9D9D9"/>
      <name val="Arial"/>
      <scheme val="minor"/>
    </font>
    <font>
      <color rgb="FFD9D9D9"/>
      <name val="Arial"/>
      <scheme val="minor"/>
    </font>
    <font>
      <color rgb="FF666666"/>
      <name val="Arial"/>
      <scheme val="minor"/>
    </font>
    <font>
      <b/>
      <color rgb="FF000000"/>
      <name val="Arial"/>
    </font>
    <font>
      <b/>
      <color rgb="FF999999"/>
      <name val="Monospace"/>
    </font>
    <font>
      <b/>
      <color rgb="FF34A853"/>
      <name val="Arial"/>
      <scheme val="minor"/>
    </font>
    <font>
      <color rgb="FF999999"/>
      <name val="Monospace"/>
    </font>
    <font>
      <b/>
      <color rgb="FFE6B8AF"/>
      <name val="Arial"/>
      <scheme val="minor"/>
    </font>
    <font>
      <u/>
      <color theme="1"/>
      <name val="Arial"/>
      <scheme val="minor"/>
    </font>
    <font>
      <u/>
      <color rgb="FF999999"/>
      <name val="Arial"/>
      <scheme val="minor"/>
    </font>
    <font>
      <u/>
      <color rgb="FF000000"/>
      <name val="Arial"/>
      <scheme val="minor"/>
    </font>
    <font>
      <u/>
      <color theme="1"/>
      <name val="Arial"/>
      <scheme val="minor"/>
    </font>
    <font>
      <u/>
      <color rgb="FF999999"/>
      <name val="Arial"/>
      <scheme val="minor"/>
    </font>
    <font>
      <b/>
      <color rgb="FF000000"/>
      <name val="Monospace"/>
    </font>
    <font>
      <b/>
      <color rgb="FFFF9900"/>
      <name val="Arial"/>
      <scheme val="minor"/>
    </font>
    <font>
      <color theme="1"/>
      <name val="Arial"/>
    </font>
    <font>
      <b/>
      <color rgb="FF38761D"/>
      <name val="Arial"/>
      <scheme val="minor"/>
    </font>
    <font>
      <b/>
      <color theme="1"/>
      <name val="Cambria"/>
    </font>
    <font>
      <color rgb="FF000000"/>
      <name val="Arial"/>
      <scheme val="minor"/>
    </font>
    <font>
      <b/>
      <color rgb="FFB7B7B7"/>
      <name val="Arial"/>
      <scheme val="minor"/>
    </font>
    <font>
      <color rgb="FFB7B7B7"/>
      <name val="Arial"/>
      <scheme val="minor"/>
    </font>
    <font>
      <color rgb="FF666666"/>
      <name val="Arial"/>
    </font>
    <font>
      <b/>
      <color theme="1"/>
      <name val="Arial"/>
    </font>
  </fonts>
  <fills count="4">
    <fill>
      <patternFill patternType="none"/>
    </fill>
    <fill>
      <patternFill patternType="lightGray"/>
    </fill>
    <fill>
      <patternFill patternType="solid">
        <fgColor rgb="FFFFFFFF"/>
        <bgColor rgb="FFFFFFFF"/>
      </patternFill>
    </fill>
    <fill>
      <patternFill patternType="solid">
        <fgColor rgb="FFF3F3F3"/>
        <bgColor rgb="FFF3F3F3"/>
      </patternFill>
    </fill>
  </fills>
  <borders count="8">
    <border/>
    <border>
      <top style="thin">
        <color rgb="FF000000"/>
      </top>
    </border>
    <border>
      <bottom style="thin">
        <color rgb="FF000000"/>
      </bottom>
    </border>
    <border>
      <top style="hair">
        <color rgb="FF000000"/>
      </top>
    </border>
    <border>
      <bottom style="hair">
        <color rgb="FF000000"/>
      </bottom>
    </border>
    <border>
      <top style="dotted">
        <color rgb="FF000000"/>
      </top>
    </border>
    <border>
      <bottom style="dotted">
        <color rgb="FF000000"/>
      </bottom>
    </border>
    <border>
      <top style="thin">
        <color rgb="FF000000"/>
      </top>
      <bottom style="thin">
        <color rgb="FF000000"/>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3" numFmtId="0" xfId="0" applyFont="1"/>
    <xf borderId="0" fillId="0" fontId="4" numFmtId="0" xfId="0" applyAlignment="1" applyFont="1">
      <alignment readingOrder="0"/>
    </xf>
    <xf borderId="1" fillId="0" fontId="3" numFmtId="0" xfId="0" applyAlignment="1" applyBorder="1" applyFont="1">
      <alignment readingOrder="0" vertical="center"/>
    </xf>
    <xf borderId="1" fillId="0" fontId="3" numFmtId="0" xfId="0" applyAlignment="1" applyBorder="1" applyFont="1">
      <alignment readingOrder="0"/>
    </xf>
    <xf borderId="1" fillId="2" fontId="5" numFmtId="0" xfId="0" applyAlignment="1" applyBorder="1" applyFill="1" applyFont="1">
      <alignment readingOrder="0"/>
    </xf>
    <xf borderId="1" fillId="0" fontId="2" numFmtId="0" xfId="0" applyAlignment="1" applyBorder="1" applyFont="1">
      <alignment readingOrder="0"/>
    </xf>
    <xf borderId="1" fillId="0" fontId="1" numFmtId="0" xfId="0" applyAlignment="1" applyBorder="1" applyFont="1">
      <alignment readingOrder="0"/>
    </xf>
    <xf borderId="1" fillId="0" fontId="2" numFmtId="4" xfId="0" applyAlignment="1" applyBorder="1" applyFont="1" applyNumberFormat="1">
      <alignment readingOrder="0"/>
    </xf>
    <xf borderId="1" fillId="0" fontId="1" numFmtId="4" xfId="0" applyAlignment="1" applyBorder="1" applyFont="1" applyNumberFormat="1">
      <alignment readingOrder="0"/>
    </xf>
    <xf borderId="0" fillId="0" fontId="2" numFmtId="4" xfId="0" applyAlignment="1" applyFont="1" applyNumberFormat="1">
      <alignment readingOrder="0"/>
    </xf>
    <xf borderId="0" fillId="0" fontId="2" numFmtId="4" xfId="0" applyFont="1" applyNumberFormat="1"/>
    <xf borderId="0" fillId="0" fontId="1" numFmtId="0" xfId="0" applyAlignment="1" applyFont="1">
      <alignment readingOrder="0"/>
    </xf>
    <xf borderId="0" fillId="2" fontId="6" numFmtId="0" xfId="0" applyAlignment="1" applyFont="1">
      <alignment readingOrder="0"/>
    </xf>
    <xf borderId="0" fillId="0" fontId="1" numFmtId="4" xfId="0" applyAlignment="1" applyFont="1" applyNumberFormat="1">
      <alignment readingOrder="0"/>
    </xf>
    <xf borderId="2" fillId="0" fontId="7" numFmtId="0" xfId="0" applyBorder="1" applyFont="1"/>
    <xf borderId="2" fillId="0" fontId="3" numFmtId="0" xfId="0" applyAlignment="1" applyBorder="1" applyFont="1">
      <alignment readingOrder="0"/>
    </xf>
    <xf borderId="2" fillId="0" fontId="2" numFmtId="0" xfId="0" applyAlignment="1" applyBorder="1" applyFont="1">
      <alignment readingOrder="0"/>
    </xf>
    <xf borderId="2" fillId="0" fontId="1" numFmtId="0" xfId="0" applyAlignment="1" applyBorder="1" applyFont="1">
      <alignment readingOrder="0"/>
    </xf>
    <xf borderId="2" fillId="0" fontId="2" numFmtId="4" xfId="0" applyAlignment="1" applyBorder="1" applyFont="1" applyNumberFormat="1">
      <alignment readingOrder="0"/>
    </xf>
    <xf borderId="2" fillId="0" fontId="1" numFmtId="4" xfId="0" applyAlignment="1" applyBorder="1" applyFont="1" applyNumberFormat="1">
      <alignment readingOrder="0"/>
    </xf>
    <xf borderId="0" fillId="2" fontId="5" numFmtId="0" xfId="0" applyAlignment="1" applyFont="1">
      <alignment readingOrder="0"/>
    </xf>
    <xf borderId="0" fillId="0" fontId="1" numFmtId="4" xfId="0" applyFont="1" applyNumberFormat="1"/>
    <xf borderId="0" fillId="0" fontId="8" numFmtId="0" xfId="0" applyAlignment="1" applyFont="1">
      <alignment readingOrder="0"/>
    </xf>
    <xf borderId="0" fillId="0" fontId="9" numFmtId="0" xfId="0" applyAlignment="1" applyFont="1">
      <alignment readingOrder="0"/>
    </xf>
    <xf borderId="0" fillId="0" fontId="9" numFmtId="0" xfId="0" applyFont="1"/>
    <xf borderId="0" fillId="0" fontId="10" numFmtId="0" xfId="0" applyAlignment="1" applyFont="1">
      <alignment readingOrder="0"/>
    </xf>
    <xf borderId="3" fillId="0" fontId="8" numFmtId="0" xfId="0" applyAlignment="1" applyBorder="1" applyFont="1">
      <alignment readingOrder="0"/>
    </xf>
    <xf borderId="3" fillId="0" fontId="9" numFmtId="0" xfId="0" applyAlignment="1" applyBorder="1" applyFont="1">
      <alignment readingOrder="0"/>
    </xf>
    <xf borderId="3" fillId="0" fontId="9" numFmtId="0" xfId="0" applyBorder="1" applyFont="1"/>
    <xf borderId="3" fillId="0" fontId="2" numFmtId="4" xfId="0" applyBorder="1" applyFont="1" applyNumberFormat="1"/>
    <xf borderId="3" fillId="0" fontId="1" numFmtId="4" xfId="0" applyBorder="1" applyFont="1" applyNumberFormat="1"/>
    <xf borderId="4" fillId="0" fontId="4" numFmtId="0" xfId="0" applyAlignment="1" applyBorder="1" applyFont="1">
      <alignment readingOrder="0"/>
    </xf>
    <xf borderId="4" fillId="0" fontId="1" numFmtId="0" xfId="0" applyBorder="1" applyFont="1"/>
    <xf borderId="4" fillId="0" fontId="2" numFmtId="4" xfId="0" applyBorder="1" applyFont="1" applyNumberFormat="1"/>
    <xf borderId="4" fillId="0" fontId="1" numFmtId="4" xfId="0" applyBorder="1" applyFont="1" applyNumberFormat="1"/>
    <xf borderId="0" fillId="0" fontId="3" numFmtId="4" xfId="0" applyAlignment="1" applyFont="1" applyNumberFormat="1">
      <alignment readingOrder="0"/>
    </xf>
    <xf borderId="0" fillId="0" fontId="4" numFmtId="4" xfId="0" applyAlignment="1" applyFont="1" applyNumberFormat="1">
      <alignment readingOrder="0"/>
    </xf>
    <xf borderId="0" fillId="2" fontId="11" numFmtId="0" xfId="0" applyAlignment="1" applyFont="1">
      <alignment readingOrder="0"/>
    </xf>
    <xf borderId="0" fillId="2" fontId="12" numFmtId="0" xfId="0" applyAlignment="1" applyFont="1">
      <alignment readingOrder="0"/>
    </xf>
    <xf borderId="0" fillId="0" fontId="2" numFmtId="0" xfId="0" applyFont="1"/>
    <xf borderId="0" fillId="0" fontId="13" numFmtId="0" xfId="0" applyAlignment="1" applyFont="1">
      <alignment readingOrder="0"/>
    </xf>
    <xf borderId="5" fillId="0" fontId="3" numFmtId="0" xfId="0" applyAlignment="1" applyBorder="1" applyFont="1">
      <alignment readingOrder="0"/>
    </xf>
    <xf borderId="5" fillId="0" fontId="2" numFmtId="0" xfId="0" applyAlignment="1" applyBorder="1" applyFont="1">
      <alignment readingOrder="0"/>
    </xf>
    <xf borderId="5" fillId="2" fontId="11" numFmtId="0" xfId="0" applyAlignment="1" applyBorder="1" applyFont="1">
      <alignment readingOrder="0"/>
    </xf>
    <xf borderId="5" fillId="2" fontId="12" numFmtId="0" xfId="0" applyAlignment="1" applyBorder="1" applyFont="1">
      <alignment readingOrder="0"/>
    </xf>
    <xf borderId="5" fillId="0" fontId="1" numFmtId="0" xfId="0" applyAlignment="1" applyBorder="1" applyFont="1">
      <alignment readingOrder="0"/>
    </xf>
    <xf borderId="5" fillId="0" fontId="2" numFmtId="4" xfId="0" applyAlignment="1" applyBorder="1" applyFont="1" applyNumberFormat="1">
      <alignment readingOrder="0"/>
    </xf>
    <xf borderId="5" fillId="0" fontId="1" numFmtId="4" xfId="0" applyAlignment="1" applyBorder="1" applyFont="1" applyNumberFormat="1">
      <alignment readingOrder="0"/>
    </xf>
    <xf borderId="6" fillId="0" fontId="3" numFmtId="0" xfId="0" applyAlignment="1" applyBorder="1" applyFont="1">
      <alignment readingOrder="0"/>
    </xf>
    <xf borderId="6" fillId="0" fontId="2" numFmtId="0" xfId="0" applyAlignment="1" applyBorder="1" applyFont="1">
      <alignment readingOrder="0"/>
    </xf>
    <xf borderId="6" fillId="0" fontId="1" numFmtId="0" xfId="0" applyAlignment="1" applyBorder="1" applyFont="1">
      <alignment readingOrder="0"/>
    </xf>
    <xf borderId="6" fillId="0" fontId="2" numFmtId="4" xfId="0" applyAlignment="1" applyBorder="1" applyFont="1" applyNumberFormat="1">
      <alignment readingOrder="0"/>
    </xf>
    <xf borderId="6" fillId="0" fontId="1" numFmtId="4" xfId="0" applyAlignment="1" applyBorder="1" applyFont="1" applyNumberFormat="1">
      <alignment readingOrder="0"/>
    </xf>
    <xf borderId="0" fillId="2" fontId="14" numFmtId="0" xfId="0" applyAlignment="1" applyFont="1">
      <alignment readingOrder="0"/>
    </xf>
    <xf borderId="0" fillId="0" fontId="15" numFmtId="0" xfId="0" applyAlignment="1" applyFont="1">
      <alignment readingOrder="0"/>
    </xf>
    <xf borderId="0" fillId="0" fontId="16" numFmtId="0" xfId="0" applyAlignment="1" applyFont="1">
      <alignment readingOrder="0"/>
    </xf>
    <xf borderId="0" fillId="0" fontId="17" numFmtId="0" xfId="0" applyAlignment="1" applyFont="1">
      <alignment readingOrder="0"/>
    </xf>
    <xf borderId="0" fillId="0" fontId="18" numFmtId="0" xfId="0" applyAlignment="1" applyFont="1">
      <alignment readingOrder="0"/>
    </xf>
    <xf borderId="0" fillId="0" fontId="19" numFmtId="4" xfId="0" applyAlignment="1" applyFont="1" applyNumberFormat="1">
      <alignment readingOrder="0"/>
    </xf>
    <xf borderId="0" fillId="0" fontId="20" numFmtId="4" xfId="0" applyAlignment="1" applyFont="1" applyNumberFormat="1">
      <alignment readingOrder="0"/>
    </xf>
    <xf borderId="0" fillId="2" fontId="21" numFmtId="0" xfId="0" applyAlignment="1" applyFont="1">
      <alignment readingOrder="0"/>
    </xf>
    <xf borderId="7" fillId="0" fontId="3" numFmtId="0" xfId="0" applyAlignment="1" applyBorder="1" applyFont="1">
      <alignment readingOrder="0"/>
    </xf>
    <xf borderId="7" fillId="0" fontId="2" numFmtId="0" xfId="0" applyAlignment="1" applyBorder="1" applyFont="1">
      <alignment readingOrder="0"/>
    </xf>
    <xf borderId="0" fillId="0" fontId="22" numFmtId="0" xfId="0" applyAlignment="1" applyFont="1">
      <alignment readingOrder="0"/>
    </xf>
    <xf borderId="0" fillId="0" fontId="2" numFmtId="0" xfId="0" applyAlignment="1" applyFont="1">
      <alignment horizontal="center" readingOrder="0"/>
    </xf>
    <xf borderId="0" fillId="0" fontId="23" numFmtId="0" xfId="0" applyAlignment="1" applyFont="1">
      <alignment vertical="bottom"/>
    </xf>
    <xf borderId="0" fillId="0" fontId="24" numFmtId="0" xfId="0" applyAlignment="1" applyFont="1">
      <alignment readingOrder="0"/>
    </xf>
    <xf borderId="0" fillId="0" fontId="25" numFmtId="0" xfId="0" applyAlignment="1" applyFont="1">
      <alignment horizontal="center" readingOrder="0"/>
    </xf>
    <xf borderId="0" fillId="0" fontId="2" numFmtId="0" xfId="0" applyAlignment="1" applyFont="1">
      <alignment horizontal="left" vertical="bottom"/>
    </xf>
    <xf borderId="0" fillId="0" fontId="26" numFmtId="0" xfId="0" applyAlignment="1" applyFont="1">
      <alignment horizontal="left" readingOrder="0" vertical="bottom"/>
    </xf>
    <xf borderId="0" fillId="0" fontId="26" numFmtId="0" xfId="0" applyAlignment="1" applyFont="1">
      <alignment horizontal="left" readingOrder="0" vertical="top"/>
    </xf>
    <xf borderId="3" fillId="0" fontId="2" numFmtId="0" xfId="0" applyBorder="1" applyFont="1"/>
    <xf borderId="3" fillId="0" fontId="1" numFmtId="0" xfId="0" applyBorder="1" applyFont="1"/>
    <xf borderId="4" fillId="0" fontId="2" numFmtId="0" xfId="0" applyBorder="1" applyFont="1"/>
    <xf borderId="5" fillId="2" fontId="21" numFmtId="0" xfId="0" applyAlignment="1" applyBorder="1" applyFont="1">
      <alignment readingOrder="0"/>
    </xf>
    <xf borderId="0" fillId="0" fontId="27" numFmtId="0" xfId="0" applyAlignment="1" applyFont="1">
      <alignment readingOrder="0"/>
    </xf>
    <xf borderId="0" fillId="0" fontId="28" numFmtId="0" xfId="0" applyAlignment="1" applyFont="1">
      <alignment readingOrder="0"/>
    </xf>
    <xf borderId="0" fillId="0" fontId="3" numFmtId="10" xfId="0" applyAlignment="1" applyFont="1" applyNumberFormat="1">
      <alignment readingOrder="0"/>
    </xf>
    <xf borderId="0" fillId="0" fontId="2" numFmtId="0" xfId="0" applyAlignment="1" applyFont="1">
      <alignment vertical="top"/>
    </xf>
    <xf borderId="0" fillId="0" fontId="5" numFmtId="0" xfId="0" applyAlignment="1" applyFont="1">
      <alignment readingOrder="0"/>
    </xf>
    <xf borderId="0" fillId="0" fontId="11" numFmtId="0" xfId="0" applyAlignment="1" applyFont="1">
      <alignment readingOrder="0"/>
    </xf>
    <xf borderId="0" fillId="0" fontId="5" numFmtId="10" xfId="0" applyAlignment="1" applyFont="1" applyNumberFormat="1">
      <alignment horizontal="right" readingOrder="0"/>
    </xf>
    <xf borderId="0" fillId="0" fontId="23" numFmtId="0" xfId="0" applyAlignment="1" applyFont="1">
      <alignment horizontal="right" vertical="bottom"/>
    </xf>
    <xf borderId="0" fillId="0" fontId="23" numFmtId="0" xfId="0" applyAlignment="1" applyFont="1">
      <alignment horizontal="right" vertical="bottom"/>
    </xf>
    <xf borderId="0" fillId="0" fontId="23" numFmtId="0" xfId="0" applyAlignment="1" applyFont="1">
      <alignment vertical="bottom"/>
    </xf>
    <xf borderId="0" fillId="3" fontId="29" numFmtId="0" xfId="0" applyAlignment="1" applyFill="1" applyFont="1">
      <alignment vertical="bottom"/>
    </xf>
    <xf borderId="0" fillId="0" fontId="30" numFmtId="0" xfId="0" applyAlignment="1" applyFont="1">
      <alignment vertical="bottom"/>
    </xf>
    <xf borderId="0" fillId="0" fontId="23" numFmtId="0" xfId="0" applyAlignment="1" applyFont="1">
      <alignment horizontal="right" readingOrder="0" vertical="bottom"/>
    </xf>
    <xf borderId="0" fillId="0" fontId="23" numFmtId="0" xfId="0" applyAlignment="1" applyFont="1">
      <alignment readingOrder="0" vertical="bottom"/>
    </xf>
    <xf borderId="0" fillId="0" fontId="30" numFmtId="10" xfId="0" applyAlignment="1" applyFont="1" applyNumberFormat="1">
      <alignment readingOrder="0" vertical="bottom"/>
    </xf>
    <xf borderId="0" fillId="0" fontId="23" numFmtId="10" xfId="0" applyAlignment="1" applyFont="1" applyNumberFormat="1">
      <alignment readingOrder="0" vertical="bottom"/>
    </xf>
    <xf borderId="0" fillId="0" fontId="23" numFmtId="9" xfId="0" applyAlignment="1" applyFont="1" applyNumberFormat="1">
      <alignment readingOrder="0" vertical="bottom"/>
    </xf>
    <xf borderId="0" fillId="0" fontId="30" numFmtId="0" xfId="0" applyAlignment="1" applyFont="1">
      <alignment readingOrder="0" vertical="bottom"/>
    </xf>
    <xf borderId="0" fillId="0" fontId="2" numFmtId="9" xfId="0" applyAlignment="1" applyFont="1" applyNumberFormat="1">
      <alignment readingOrder="0"/>
    </xf>
    <xf borderId="1" fillId="0" fontId="2" numFmtId="0" xfId="0" applyBorder="1" applyFont="1"/>
    <xf borderId="2" fillId="0" fontId="2" numFmtId="0" xfId="0" applyBorder="1" applyFont="1"/>
    <xf borderId="3" fillId="0" fontId="3" numFmtId="0" xfId="0" applyAlignment="1" applyBorder="1" applyFont="1">
      <alignment readingOrder="0"/>
    </xf>
    <xf borderId="3" fillId="0" fontId="2"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6.38"/>
    <col customWidth="1" min="2" max="2" width="23.88"/>
    <col customWidth="1" min="3" max="3" width="48.88"/>
  </cols>
  <sheetData>
    <row r="1">
      <c r="F1" s="1"/>
      <c r="K1" s="1"/>
      <c r="P1" s="1"/>
    </row>
    <row r="2">
      <c r="C2" s="2" t="s">
        <v>0</v>
      </c>
      <c r="F2" s="1"/>
      <c r="K2" s="1"/>
      <c r="P2" s="1"/>
      <c r="AD2" s="2" t="s">
        <v>1</v>
      </c>
    </row>
    <row r="3">
      <c r="D3" s="3" t="s">
        <v>2</v>
      </c>
      <c r="I3" s="3" t="s">
        <v>3</v>
      </c>
      <c r="N3" s="3" t="s">
        <v>4</v>
      </c>
      <c r="S3" s="3" t="s">
        <v>5</v>
      </c>
      <c r="T3" s="3"/>
      <c r="U3" s="3"/>
      <c r="V3" s="3"/>
      <c r="W3" s="3" t="s">
        <v>6</v>
      </c>
      <c r="AD3" s="3" t="s">
        <v>7</v>
      </c>
      <c r="AE3" s="4"/>
      <c r="AF3" s="4"/>
      <c r="AG3" s="4"/>
      <c r="AI3" s="3" t="s">
        <v>7</v>
      </c>
      <c r="AM3" s="2" t="s">
        <v>8</v>
      </c>
    </row>
    <row r="4">
      <c r="B4" s="4"/>
      <c r="C4" s="3" t="s">
        <v>9</v>
      </c>
      <c r="D4" s="3" t="s">
        <v>10</v>
      </c>
      <c r="E4" s="3" t="s">
        <v>11</v>
      </c>
      <c r="F4" s="5" t="s">
        <v>12</v>
      </c>
      <c r="G4" s="3" t="s">
        <v>13</v>
      </c>
      <c r="H4" s="3" t="s">
        <v>14</v>
      </c>
      <c r="I4" s="3" t="s">
        <v>10</v>
      </c>
      <c r="J4" s="3" t="s">
        <v>11</v>
      </c>
      <c r="K4" s="5" t="s">
        <v>12</v>
      </c>
      <c r="L4" s="3" t="s">
        <v>13</v>
      </c>
      <c r="M4" s="3" t="s">
        <v>14</v>
      </c>
      <c r="N4" s="3" t="s">
        <v>10</v>
      </c>
      <c r="O4" s="3" t="s">
        <v>11</v>
      </c>
      <c r="P4" s="5" t="s">
        <v>12</v>
      </c>
      <c r="Q4" s="3" t="s">
        <v>13</v>
      </c>
      <c r="R4" s="3" t="s">
        <v>14</v>
      </c>
      <c r="S4" s="3" t="s">
        <v>10</v>
      </c>
      <c r="T4" s="3" t="s">
        <v>11</v>
      </c>
      <c r="U4" s="3" t="s">
        <v>13</v>
      </c>
      <c r="V4" s="3" t="s">
        <v>14</v>
      </c>
      <c r="W4" s="3" t="s">
        <v>10</v>
      </c>
      <c r="X4" s="3" t="s">
        <v>12</v>
      </c>
      <c r="Y4" s="3" t="s">
        <v>13</v>
      </c>
      <c r="Z4" s="3" t="s">
        <v>14</v>
      </c>
      <c r="AA4" s="3"/>
      <c r="AB4" s="3" t="s">
        <v>15</v>
      </c>
      <c r="AC4" s="3"/>
      <c r="AD4" s="3" t="s">
        <v>10</v>
      </c>
      <c r="AE4" s="3" t="s">
        <v>12</v>
      </c>
      <c r="AF4" s="3" t="s">
        <v>13</v>
      </c>
      <c r="AG4" s="3" t="s">
        <v>14</v>
      </c>
      <c r="AH4" s="3"/>
      <c r="AI4" s="3" t="s">
        <v>16</v>
      </c>
      <c r="AJ4" s="3" t="s">
        <v>17</v>
      </c>
      <c r="AK4" s="3"/>
      <c r="AL4" s="3"/>
      <c r="AM4" s="3"/>
      <c r="AN4" s="3"/>
      <c r="AO4" s="3"/>
      <c r="AP4" s="3"/>
      <c r="AQ4" s="3"/>
      <c r="AR4" s="3"/>
    </row>
    <row r="5">
      <c r="A5" s="2" t="s">
        <v>18</v>
      </c>
      <c r="B5" s="6" t="s">
        <v>19</v>
      </c>
      <c r="C5" s="7" t="s">
        <v>20</v>
      </c>
      <c r="D5" s="8">
        <v>33.46</v>
      </c>
      <c r="E5" s="9">
        <v>28.08</v>
      </c>
      <c r="F5" s="10">
        <v>7.98</v>
      </c>
      <c r="G5" s="9">
        <v>51.36</v>
      </c>
      <c r="H5" s="9">
        <v>30.9</v>
      </c>
      <c r="I5" s="9">
        <v>37.87</v>
      </c>
      <c r="J5" s="9">
        <v>30.34</v>
      </c>
      <c r="K5" s="10">
        <v>19.86</v>
      </c>
      <c r="L5" s="9">
        <v>61.27</v>
      </c>
      <c r="M5" s="9">
        <v>27.15</v>
      </c>
      <c r="N5" s="11">
        <v>0.394171881992857</v>
      </c>
      <c r="O5" s="11">
        <v>54.15</v>
      </c>
      <c r="P5" s="12">
        <v>0.355923708891404</v>
      </c>
      <c r="Q5" s="11">
        <v>0.310902785459352</v>
      </c>
      <c r="R5" s="11">
        <v>0.280425714214168</v>
      </c>
      <c r="S5" s="13">
        <v>52.38</v>
      </c>
      <c r="T5" s="13">
        <v>37.37</v>
      </c>
      <c r="U5" s="13">
        <v>55.99</v>
      </c>
      <c r="V5" s="13">
        <v>41.36</v>
      </c>
      <c r="W5" s="14"/>
      <c r="X5" s="14"/>
      <c r="Y5" s="14"/>
      <c r="Z5" s="14"/>
      <c r="AA5" s="14"/>
      <c r="AB5" s="14">
        <f t="shared" ref="AB5:AB8" si="3">(D5+E5+G5+H5+I5+J5+L5+M5+(N5+Q5+R5)*100+O5+S5+T5+U5+V5)/16</f>
        <v>40.01437739</v>
      </c>
      <c r="AC5" s="14"/>
      <c r="AD5" s="14">
        <f t="shared" ref="AD5:AE5" si="1">(D5+I5+S5)/3</f>
        <v>41.23666667</v>
      </c>
      <c r="AE5" s="14">
        <f t="shared" si="1"/>
        <v>31.93</v>
      </c>
      <c r="AF5" s="14">
        <f t="shared" ref="AF5:AG5" si="2">(G5+L5+U5)/3</f>
        <v>56.20666667</v>
      </c>
      <c r="AG5" s="14">
        <f t="shared" si="2"/>
        <v>33.13666667</v>
      </c>
      <c r="AH5" s="14"/>
      <c r="AI5" s="14">
        <f t="shared" ref="AI5:AI8" si="6">SUM(AD5:AG5)/4</f>
        <v>40.6275</v>
      </c>
      <c r="AJ5" s="14">
        <f t="shared" ref="AJ5:AJ8" si="7">(AD5+AE5+AF5)/3</f>
        <v>43.12444444</v>
      </c>
    </row>
    <row r="6">
      <c r="A6" s="3" t="s">
        <v>21</v>
      </c>
      <c r="C6" s="3" t="s">
        <v>22</v>
      </c>
      <c r="D6" s="2">
        <v>51.75</v>
      </c>
      <c r="E6" s="2">
        <v>52.98</v>
      </c>
      <c r="F6" s="15">
        <v>32.92</v>
      </c>
      <c r="G6" s="16">
        <v>48.04</v>
      </c>
      <c r="H6" s="2">
        <v>40.94</v>
      </c>
      <c r="I6" s="2">
        <v>52.85</v>
      </c>
      <c r="J6" s="2">
        <v>57.62</v>
      </c>
      <c r="K6" s="15">
        <v>35.63</v>
      </c>
      <c r="L6" s="2">
        <v>60.0</v>
      </c>
      <c r="M6" s="2">
        <v>51.01</v>
      </c>
      <c r="N6" s="13">
        <v>0.534616381438451</v>
      </c>
      <c r="O6" s="13">
        <v>67.23</v>
      </c>
      <c r="P6" s="17">
        <v>0.484958431335845</v>
      </c>
      <c r="Q6" s="13">
        <v>0.434364060985857</v>
      </c>
      <c r="R6" s="13">
        <v>0.492564240886557</v>
      </c>
      <c r="S6" s="13">
        <v>55.32</v>
      </c>
      <c r="T6" s="13">
        <v>61.89</v>
      </c>
      <c r="U6" s="13">
        <v>58.72</v>
      </c>
      <c r="V6" s="13">
        <v>46.64</v>
      </c>
      <c r="W6" s="14"/>
      <c r="X6" s="14"/>
      <c r="Y6" s="14"/>
      <c r="Z6" s="14"/>
      <c r="AA6" s="14"/>
      <c r="AB6" s="14">
        <f t="shared" si="3"/>
        <v>53.19652927</v>
      </c>
      <c r="AC6" s="14"/>
      <c r="AD6" s="14">
        <f t="shared" ref="AD6:AE6" si="4">(D6+I6+S6)/3</f>
        <v>53.30666667</v>
      </c>
      <c r="AE6" s="14">
        <f t="shared" si="4"/>
        <v>57.49666667</v>
      </c>
      <c r="AF6" s="14">
        <f t="shared" ref="AF6:AG6" si="5">(G6+L6+U6)/3</f>
        <v>55.58666667</v>
      </c>
      <c r="AG6" s="14">
        <f t="shared" si="5"/>
        <v>46.19666667</v>
      </c>
      <c r="AH6" s="14"/>
      <c r="AI6" s="14">
        <f t="shared" si="6"/>
        <v>53.14666667</v>
      </c>
      <c r="AJ6" s="14">
        <f t="shared" si="7"/>
        <v>55.46333333</v>
      </c>
    </row>
    <row r="7">
      <c r="A7" s="3"/>
      <c r="C7" s="3" t="s">
        <v>23</v>
      </c>
      <c r="D7" s="2">
        <v>43.12</v>
      </c>
      <c r="E7" s="2">
        <v>40.75</v>
      </c>
      <c r="F7" s="15">
        <v>24.75</v>
      </c>
      <c r="G7" s="2">
        <v>27.79</v>
      </c>
      <c r="H7" s="2">
        <v>35.35</v>
      </c>
      <c r="I7" s="2">
        <v>53.39</v>
      </c>
      <c r="J7" s="2">
        <v>56.38</v>
      </c>
      <c r="K7" s="15">
        <v>32.15</v>
      </c>
      <c r="L7" s="2">
        <v>58.1</v>
      </c>
      <c r="M7" s="2">
        <v>50.85</v>
      </c>
      <c r="N7" s="13">
        <v>0.522032188470096</v>
      </c>
      <c r="O7" s="13">
        <v>57.3</v>
      </c>
      <c r="P7" s="17">
        <v>0.466482062646915</v>
      </c>
      <c r="Q7" s="13">
        <v>0.41900521878719</v>
      </c>
      <c r="R7" s="13">
        <v>0.482297132284177</v>
      </c>
      <c r="S7" s="13">
        <v>52.35</v>
      </c>
      <c r="T7" s="13">
        <v>49.53</v>
      </c>
      <c r="U7" s="13">
        <v>53.69</v>
      </c>
      <c r="V7" s="13">
        <v>44.45</v>
      </c>
      <c r="W7" s="14"/>
      <c r="X7" s="14"/>
      <c r="Y7" s="14"/>
      <c r="Z7" s="14"/>
      <c r="AA7" s="14"/>
      <c r="AB7" s="14">
        <f t="shared" si="3"/>
        <v>47.83646587</v>
      </c>
      <c r="AC7" s="14"/>
      <c r="AD7" s="14">
        <f t="shared" ref="AD7:AE7" si="8">(D7+I7+S7)/3</f>
        <v>49.62</v>
      </c>
      <c r="AE7" s="14">
        <f t="shared" si="8"/>
        <v>48.88666667</v>
      </c>
      <c r="AF7" s="14">
        <f t="shared" ref="AF7:AG7" si="9">(G7+L7+U7)/3</f>
        <v>46.52666667</v>
      </c>
      <c r="AG7" s="14">
        <f t="shared" si="9"/>
        <v>43.55</v>
      </c>
      <c r="AH7" s="14"/>
      <c r="AI7" s="14">
        <f t="shared" si="6"/>
        <v>47.14583333</v>
      </c>
      <c r="AJ7" s="14">
        <f t="shared" si="7"/>
        <v>48.34444444</v>
      </c>
    </row>
    <row r="8">
      <c r="A8" s="3"/>
      <c r="B8" s="18"/>
      <c r="C8" s="19" t="s">
        <v>24</v>
      </c>
      <c r="D8" s="20">
        <v>47.0</v>
      </c>
      <c r="E8" s="20">
        <v>40.71</v>
      </c>
      <c r="F8" s="21">
        <v>24.7</v>
      </c>
      <c r="G8" s="20">
        <v>36.09</v>
      </c>
      <c r="H8" s="20">
        <v>40.94</v>
      </c>
      <c r="I8" s="20">
        <v>54.81</v>
      </c>
      <c r="J8" s="20">
        <v>53.61</v>
      </c>
      <c r="K8" s="21">
        <v>32.0</v>
      </c>
      <c r="L8" s="20">
        <v>58.41</v>
      </c>
      <c r="M8" s="20">
        <v>50.08</v>
      </c>
      <c r="N8" s="22">
        <v>0.52890607832841</v>
      </c>
      <c r="O8" s="22">
        <v>61.13</v>
      </c>
      <c r="P8" s="23">
        <v>0.475854114017985</v>
      </c>
      <c r="Q8" s="22">
        <v>0.432518454405005</v>
      </c>
      <c r="R8" s="22">
        <v>0.492660604723628</v>
      </c>
      <c r="S8" s="13">
        <v>54.9</v>
      </c>
      <c r="T8" s="13">
        <v>50.84</v>
      </c>
      <c r="U8" s="13">
        <v>57.2</v>
      </c>
      <c r="V8" s="13">
        <v>46.69</v>
      </c>
      <c r="W8" s="14"/>
      <c r="X8" s="14"/>
      <c r="Y8" s="14"/>
      <c r="Z8" s="14"/>
      <c r="AA8" s="13"/>
      <c r="AB8" s="14">
        <f t="shared" si="3"/>
        <v>49.86365711</v>
      </c>
      <c r="AC8" s="14"/>
      <c r="AD8" s="14">
        <f t="shared" ref="AD8:AE8" si="10">(D8+I8+S8)/3</f>
        <v>52.23666667</v>
      </c>
      <c r="AE8" s="14">
        <f t="shared" si="10"/>
        <v>48.38666667</v>
      </c>
      <c r="AF8" s="14">
        <f t="shared" ref="AF8:AG8" si="11">(G8+L8+U8)/3</f>
        <v>50.56666667</v>
      </c>
      <c r="AG8" s="14">
        <f t="shared" si="11"/>
        <v>45.90333333</v>
      </c>
      <c r="AH8" s="14"/>
      <c r="AI8" s="14">
        <f t="shared" si="6"/>
        <v>49.27333333</v>
      </c>
      <c r="AJ8" s="14">
        <f t="shared" si="7"/>
        <v>50.39666667</v>
      </c>
    </row>
    <row r="9">
      <c r="A9" s="3"/>
      <c r="B9" s="3" t="s">
        <v>25</v>
      </c>
      <c r="C9" s="3" t="s">
        <v>26</v>
      </c>
      <c r="D9" s="2">
        <v>21.37</v>
      </c>
      <c r="E9" s="24"/>
      <c r="F9" s="24">
        <v>4.36</v>
      </c>
      <c r="H9" s="2">
        <v>20.41</v>
      </c>
      <c r="J9" s="2"/>
      <c r="K9" s="2">
        <v>0.27</v>
      </c>
      <c r="M9" s="2">
        <v>21.4</v>
      </c>
      <c r="N9" s="14"/>
      <c r="O9" s="14"/>
      <c r="P9" s="25"/>
      <c r="Q9" s="14"/>
      <c r="R9" s="14"/>
      <c r="S9" s="14"/>
      <c r="T9" s="14"/>
      <c r="U9" s="14"/>
      <c r="V9" s="14"/>
      <c r="W9" s="14"/>
      <c r="X9" s="14"/>
      <c r="Y9" s="14"/>
      <c r="Z9" s="14"/>
      <c r="AA9" s="14"/>
      <c r="AB9" s="14"/>
      <c r="AC9" s="14"/>
      <c r="AD9" s="14"/>
      <c r="AE9" s="14"/>
      <c r="AF9" s="14"/>
      <c r="AG9" s="14"/>
      <c r="AH9" s="14"/>
      <c r="AI9" s="14"/>
      <c r="AJ9" s="14"/>
    </row>
    <row r="10">
      <c r="A10" s="3"/>
      <c r="B10" s="4"/>
      <c r="C10" s="26" t="s">
        <v>27</v>
      </c>
      <c r="D10" s="27">
        <v>35.23</v>
      </c>
      <c r="E10" s="27"/>
      <c r="F10" s="27">
        <v>27.84</v>
      </c>
      <c r="G10" s="28"/>
      <c r="H10" s="27">
        <v>28.39</v>
      </c>
      <c r="I10" s="28"/>
      <c r="J10" s="27"/>
      <c r="K10" s="27">
        <v>27.61</v>
      </c>
      <c r="L10" s="28"/>
      <c r="M10" s="27">
        <v>37.0</v>
      </c>
      <c r="N10" s="14"/>
      <c r="O10" s="14"/>
      <c r="P10" s="25"/>
      <c r="Q10" s="14"/>
      <c r="R10" s="14"/>
      <c r="S10" s="14"/>
      <c r="T10" s="14"/>
      <c r="U10" s="14"/>
      <c r="V10" s="14"/>
      <c r="W10" s="14"/>
      <c r="X10" s="14"/>
      <c r="Y10" s="14"/>
      <c r="Z10" s="14"/>
      <c r="AA10" s="14"/>
      <c r="AB10" s="14"/>
      <c r="AC10" s="14"/>
      <c r="AD10" s="14"/>
      <c r="AE10" s="14"/>
      <c r="AF10" s="14"/>
      <c r="AG10" s="14"/>
      <c r="AH10" s="14"/>
      <c r="AI10" s="14"/>
      <c r="AJ10" s="14"/>
    </row>
    <row r="11">
      <c r="A11" s="29" t="s">
        <v>28</v>
      </c>
      <c r="B11" s="2" t="s">
        <v>29</v>
      </c>
      <c r="C11" s="30" t="s">
        <v>30</v>
      </c>
      <c r="D11" s="31">
        <v>50.47</v>
      </c>
      <c r="E11" s="31"/>
      <c r="F11" s="31">
        <v>28.31</v>
      </c>
      <c r="G11" s="32"/>
      <c r="H11" s="31">
        <v>40.82</v>
      </c>
      <c r="I11" s="32"/>
      <c r="J11" s="31"/>
      <c r="K11" s="31">
        <v>28.15</v>
      </c>
      <c r="L11" s="32"/>
      <c r="M11" s="31">
        <v>50.68</v>
      </c>
      <c r="N11" s="33"/>
      <c r="O11" s="33"/>
      <c r="P11" s="34"/>
      <c r="Q11" s="33"/>
      <c r="R11" s="33"/>
      <c r="S11" s="14"/>
      <c r="T11" s="14"/>
      <c r="U11" s="14"/>
      <c r="V11" s="14"/>
      <c r="W11" s="14"/>
      <c r="X11" s="14"/>
      <c r="Y11" s="14"/>
      <c r="Z11" s="14"/>
      <c r="AA11" s="14"/>
      <c r="AB11" s="14"/>
      <c r="AC11" s="14"/>
      <c r="AD11" s="14"/>
      <c r="AE11" s="14"/>
      <c r="AF11" s="14"/>
      <c r="AG11" s="14"/>
      <c r="AH11" s="14"/>
      <c r="AI11" s="14"/>
      <c r="AJ11" s="14"/>
    </row>
    <row r="12">
      <c r="A12" s="29" t="s">
        <v>31</v>
      </c>
      <c r="B12" s="4"/>
      <c r="C12" s="26" t="s">
        <v>32</v>
      </c>
      <c r="D12" s="27">
        <v>50.78</v>
      </c>
      <c r="E12" s="27"/>
      <c r="F12" s="27">
        <v>28.16</v>
      </c>
      <c r="G12" s="28"/>
      <c r="H12" s="27">
        <v>42.3</v>
      </c>
      <c r="I12" s="28"/>
      <c r="J12" s="28"/>
      <c r="K12" s="28"/>
      <c r="L12" s="28"/>
      <c r="M12" s="27">
        <v>56.27</v>
      </c>
      <c r="N12" s="14"/>
      <c r="O12" s="14"/>
      <c r="P12" s="25"/>
      <c r="Q12" s="14"/>
      <c r="R12" s="14"/>
      <c r="S12" s="14"/>
      <c r="T12" s="14"/>
      <c r="U12" s="14"/>
      <c r="V12" s="14"/>
      <c r="W12" s="14"/>
      <c r="X12" s="14"/>
      <c r="Y12" s="14"/>
      <c r="Z12" s="14"/>
      <c r="AA12" s="14"/>
      <c r="AB12" s="14"/>
      <c r="AC12" s="14"/>
      <c r="AD12" s="14">
        <f t="shared" ref="AD12:AG12" si="12">AD18-AD6</f>
        <v>6.216666667</v>
      </c>
      <c r="AE12" s="14">
        <f t="shared" si="12"/>
        <v>4.31</v>
      </c>
      <c r="AF12" s="14">
        <f t="shared" si="12"/>
        <v>9.52</v>
      </c>
      <c r="AG12" s="14">
        <f t="shared" si="12"/>
        <v>6.293333333</v>
      </c>
      <c r="AH12" s="14"/>
      <c r="AI12" s="14">
        <f t="shared" ref="AI12:AJ12" si="13">AI18-AI6</f>
        <v>6.585</v>
      </c>
      <c r="AJ12" s="14">
        <f t="shared" si="13"/>
        <v>6.682222222</v>
      </c>
    </row>
    <row r="13">
      <c r="A13" s="29" t="s">
        <v>33</v>
      </c>
      <c r="B13" s="4"/>
      <c r="C13" s="26" t="s">
        <v>34</v>
      </c>
      <c r="D13" s="27">
        <v>46.32</v>
      </c>
      <c r="E13" s="27"/>
      <c r="F13" s="27">
        <v>26.97</v>
      </c>
      <c r="G13" s="28"/>
      <c r="H13" s="27">
        <v>40.94</v>
      </c>
      <c r="I13" s="28"/>
      <c r="J13" s="27"/>
      <c r="K13" s="27">
        <v>26.07</v>
      </c>
      <c r="L13" s="28"/>
      <c r="M13" s="28"/>
      <c r="N13" s="14"/>
      <c r="O13" s="14"/>
      <c r="P13" s="25"/>
      <c r="Q13" s="14"/>
      <c r="R13" s="14"/>
      <c r="S13" s="14"/>
      <c r="T13" s="14"/>
      <c r="U13" s="14"/>
      <c r="V13" s="14"/>
      <c r="W13" s="14"/>
      <c r="X13" s="14"/>
      <c r="Y13" s="14"/>
      <c r="Z13" s="14"/>
      <c r="AA13" s="14"/>
      <c r="AB13" s="14"/>
      <c r="AC13" s="14"/>
      <c r="AD13" s="14">
        <f t="shared" ref="AD13:AG13" si="14">AD32-AD6</f>
        <v>22.84</v>
      </c>
      <c r="AE13" s="14">
        <f t="shared" si="14"/>
        <v>27.91666667</v>
      </c>
      <c r="AF13" s="14">
        <f t="shared" si="14"/>
        <v>15.60666667</v>
      </c>
      <c r="AG13" s="14">
        <f t="shared" si="14"/>
        <v>3.22</v>
      </c>
      <c r="AH13" s="14"/>
      <c r="AI13" s="14"/>
      <c r="AJ13" s="14"/>
    </row>
    <row r="14">
      <c r="B14" s="4"/>
      <c r="C14" s="35"/>
      <c r="D14" s="36"/>
      <c r="E14" s="36"/>
      <c r="F14" s="36"/>
      <c r="G14" s="36"/>
      <c r="H14" s="36"/>
      <c r="I14" s="36"/>
      <c r="J14" s="36"/>
      <c r="K14" s="36"/>
      <c r="L14" s="36"/>
      <c r="M14" s="36"/>
      <c r="N14" s="37"/>
      <c r="O14" s="37"/>
      <c r="P14" s="38"/>
      <c r="Q14" s="37"/>
      <c r="R14" s="37"/>
      <c r="S14" s="14"/>
      <c r="T14" s="14"/>
      <c r="U14" s="14"/>
      <c r="V14" s="14"/>
      <c r="W14" s="14"/>
      <c r="X14" s="14"/>
      <c r="Y14" s="14"/>
      <c r="Z14" s="14"/>
      <c r="AA14" s="14"/>
      <c r="AB14" s="14"/>
      <c r="AC14" s="14"/>
      <c r="AD14" s="14"/>
      <c r="AE14" s="14"/>
      <c r="AF14" s="14"/>
      <c r="AG14" s="14"/>
      <c r="AH14" s="14"/>
      <c r="AI14" s="14"/>
      <c r="AJ14" s="14"/>
    </row>
    <row r="15">
      <c r="B15" s="4"/>
      <c r="C15" s="3"/>
      <c r="F15" s="1"/>
      <c r="K15" s="1"/>
      <c r="N15" s="14"/>
      <c r="O15" s="14"/>
      <c r="P15" s="25"/>
      <c r="Q15" s="14"/>
      <c r="R15" s="14"/>
      <c r="S15" s="14"/>
      <c r="T15" s="14"/>
      <c r="U15" s="14"/>
      <c r="V15" s="14"/>
      <c r="W15" s="14"/>
      <c r="X15" s="14"/>
      <c r="Y15" s="14"/>
      <c r="Z15" s="14"/>
      <c r="AA15" s="14"/>
      <c r="AB15" s="14"/>
      <c r="AC15" s="14"/>
      <c r="AD15" s="14"/>
      <c r="AE15" s="14"/>
      <c r="AF15" s="14"/>
      <c r="AG15" s="14"/>
      <c r="AH15" s="14"/>
      <c r="AI15" s="14"/>
      <c r="AJ15" s="14"/>
    </row>
    <row r="16">
      <c r="C16" s="3"/>
      <c r="F16" s="1"/>
      <c r="K16" s="1"/>
      <c r="N16" s="14"/>
      <c r="O16" s="14"/>
      <c r="P16" s="25"/>
      <c r="Q16" s="14"/>
      <c r="R16" s="14"/>
      <c r="S16" s="14"/>
      <c r="T16" s="14"/>
      <c r="U16" s="14"/>
      <c r="V16" s="14"/>
      <c r="W16" s="14"/>
      <c r="X16" s="14"/>
      <c r="Y16" s="14"/>
      <c r="Z16" s="14"/>
      <c r="AA16" s="14"/>
      <c r="AB16" s="14"/>
      <c r="AC16" s="14"/>
      <c r="AD16" s="14"/>
      <c r="AE16" s="14"/>
      <c r="AF16" s="14"/>
      <c r="AG16" s="14"/>
      <c r="AH16" s="14"/>
      <c r="AI16" s="14"/>
      <c r="AJ16" s="14"/>
    </row>
    <row r="17">
      <c r="B17" s="2" t="s">
        <v>35</v>
      </c>
      <c r="C17" s="3" t="s">
        <v>36</v>
      </c>
      <c r="D17" s="2">
        <v>54.16</v>
      </c>
      <c r="E17" s="2">
        <v>55.75</v>
      </c>
      <c r="F17" s="15">
        <v>33.5</v>
      </c>
      <c r="G17" s="2">
        <v>57.76</v>
      </c>
      <c r="H17" s="2">
        <v>43.9</v>
      </c>
      <c r="I17" s="16">
        <v>57.93</v>
      </c>
      <c r="J17" s="3">
        <v>59.51</v>
      </c>
      <c r="K17" s="15">
        <v>36.63</v>
      </c>
      <c r="L17" s="2">
        <v>66.67</v>
      </c>
      <c r="M17" s="2">
        <v>54.63</v>
      </c>
      <c r="N17" s="13">
        <v>0.532944175305095</v>
      </c>
      <c r="O17" s="39">
        <v>68.08</v>
      </c>
      <c r="P17" s="40">
        <v>0.48053355129346</v>
      </c>
      <c r="Q17" s="13">
        <v>0.429560271998061</v>
      </c>
      <c r="R17" s="13">
        <v>0.482699914381539</v>
      </c>
      <c r="S17" s="13">
        <v>64.03</v>
      </c>
      <c r="T17" s="13">
        <v>70.55</v>
      </c>
      <c r="U17" s="13">
        <v>69.56</v>
      </c>
      <c r="V17" s="13">
        <v>50.91</v>
      </c>
      <c r="W17" s="14"/>
      <c r="X17" s="14"/>
      <c r="Y17" s="14"/>
      <c r="Z17" s="14"/>
      <c r="AA17" s="14"/>
      <c r="AB17" s="14">
        <f t="shared" ref="AB17:AB21" si="17">(D17+E17+G17+H17+I17+J17+L17+M17+(N17+Q17+R17)*100+O17+S17+T17+U17+V17)/16</f>
        <v>57.37252726</v>
      </c>
      <c r="AC17" s="14"/>
      <c r="AD17" s="14">
        <f t="shared" ref="AD17:AE17" si="15">(D17+I17+S17)/3</f>
        <v>58.70666667</v>
      </c>
      <c r="AE17" s="14">
        <f t="shared" si="15"/>
        <v>61.93666667</v>
      </c>
      <c r="AF17" s="14">
        <f t="shared" ref="AF17:AG17" si="16">(G17+L17+U17)/3</f>
        <v>64.66333333</v>
      </c>
      <c r="AG17" s="14">
        <f t="shared" si="16"/>
        <v>49.81333333</v>
      </c>
      <c r="AH17" s="14"/>
      <c r="AI17" s="14">
        <f t="shared" ref="AI17:AI21" si="20">SUM(AD17:AG17)/4</f>
        <v>58.78</v>
      </c>
      <c r="AJ17" s="14">
        <f t="shared" ref="AJ17:AJ21" si="21">(AD17+AE17+AF17)/3</f>
        <v>61.76888889</v>
      </c>
    </row>
    <row r="18">
      <c r="C18" s="3" t="s">
        <v>37</v>
      </c>
      <c r="D18" s="3">
        <v>55.21</v>
      </c>
      <c r="E18" s="41">
        <v>56.47</v>
      </c>
      <c r="F18" s="42">
        <v>33.61</v>
      </c>
      <c r="G18" s="3">
        <v>57.9</v>
      </c>
      <c r="H18" s="3">
        <v>46.18</v>
      </c>
      <c r="I18" s="3">
        <v>59.55</v>
      </c>
      <c r="J18" s="2">
        <v>58.58</v>
      </c>
      <c r="K18" s="5">
        <v>36.55</v>
      </c>
      <c r="L18" s="3">
        <v>68.89</v>
      </c>
      <c r="M18" s="3">
        <v>58.78</v>
      </c>
      <c r="N18" s="39">
        <v>0.533408141505302</v>
      </c>
      <c r="O18" s="13">
        <v>67.7</v>
      </c>
      <c r="P18" s="17">
        <v>0.47968961690472</v>
      </c>
      <c r="Q18" s="39">
        <v>0.430592452201895</v>
      </c>
      <c r="R18" s="39">
        <v>0.491819197298873</v>
      </c>
      <c r="S18" s="13">
        <v>63.81</v>
      </c>
      <c r="T18" s="13">
        <v>70.37</v>
      </c>
      <c r="U18" s="13">
        <v>68.53</v>
      </c>
      <c r="V18" s="13">
        <v>52.51</v>
      </c>
      <c r="W18" s="14"/>
      <c r="X18" s="14"/>
      <c r="Y18" s="14"/>
      <c r="Z18" s="14"/>
      <c r="AA18" s="14"/>
      <c r="AB18" s="14">
        <f t="shared" si="17"/>
        <v>58.12887369</v>
      </c>
      <c r="AC18" s="14"/>
      <c r="AD18" s="14">
        <f t="shared" ref="AD18:AE18" si="18">(D18+I18+S18)/3</f>
        <v>59.52333333</v>
      </c>
      <c r="AE18" s="14">
        <f t="shared" si="18"/>
        <v>61.80666667</v>
      </c>
      <c r="AF18" s="14">
        <f t="shared" ref="AF18:AG18" si="19">(G18+L18+U18)/3</f>
        <v>65.10666667</v>
      </c>
      <c r="AG18" s="14">
        <f t="shared" si="19"/>
        <v>52.49</v>
      </c>
      <c r="AH18" s="14"/>
      <c r="AI18" s="14">
        <f t="shared" si="20"/>
        <v>59.73166667</v>
      </c>
      <c r="AJ18" s="14">
        <f t="shared" si="21"/>
        <v>62.14555556</v>
      </c>
      <c r="AM18" s="43">
        <f>(D18+E18+G18+H18+I18+J18+L18+M18)/8</f>
        <v>57.695</v>
      </c>
    </row>
    <row r="19">
      <c r="B19" s="2" t="s">
        <v>35</v>
      </c>
      <c r="C19" s="3" t="s">
        <v>38</v>
      </c>
      <c r="D19" s="2">
        <v>49.93</v>
      </c>
      <c r="E19" s="2">
        <v>54.2</v>
      </c>
      <c r="F19" s="15">
        <v>31.95</v>
      </c>
      <c r="G19" s="3">
        <v>57.94</v>
      </c>
      <c r="H19" s="2">
        <v>42.3</v>
      </c>
      <c r="I19" s="2">
        <v>58.63</v>
      </c>
      <c r="J19" s="2">
        <v>53.66</v>
      </c>
      <c r="K19" s="5">
        <v>36.63</v>
      </c>
      <c r="L19" s="2">
        <v>68.89</v>
      </c>
      <c r="M19" s="3">
        <v>60.48</v>
      </c>
      <c r="N19" s="13">
        <v>0.533865734980547</v>
      </c>
      <c r="O19" s="13">
        <v>65.85</v>
      </c>
      <c r="P19" s="17">
        <v>0.478017395807485</v>
      </c>
      <c r="Q19" s="13">
        <v>0.422898998687583</v>
      </c>
      <c r="R19" s="13">
        <v>0.486667959044468</v>
      </c>
      <c r="S19" s="13">
        <v>64.34</v>
      </c>
      <c r="T19" s="13">
        <v>70.49</v>
      </c>
      <c r="U19" s="13">
        <v>67.75</v>
      </c>
      <c r="V19" s="13">
        <v>55.87</v>
      </c>
      <c r="W19" s="14"/>
      <c r="X19" s="14"/>
      <c r="Y19" s="14"/>
      <c r="Z19" s="14"/>
      <c r="AA19" s="14"/>
      <c r="AB19" s="14">
        <f t="shared" si="17"/>
        <v>57.16707933</v>
      </c>
      <c r="AC19" s="14"/>
      <c r="AD19" s="14">
        <f t="shared" ref="AD19:AE19" si="22">(D19+I19+S19)/3</f>
        <v>57.63333333</v>
      </c>
      <c r="AE19" s="14">
        <f t="shared" si="22"/>
        <v>59.45</v>
      </c>
      <c r="AF19" s="14">
        <f t="shared" ref="AF19:AG19" si="23">(G19+L19+U19)/3</f>
        <v>64.86</v>
      </c>
      <c r="AG19" s="14">
        <f t="shared" si="23"/>
        <v>52.88333333</v>
      </c>
      <c r="AH19" s="14"/>
      <c r="AI19" s="14">
        <f t="shared" si="20"/>
        <v>58.70666667</v>
      </c>
      <c r="AJ19" s="14">
        <f t="shared" si="21"/>
        <v>60.64777778</v>
      </c>
    </row>
    <row r="20">
      <c r="B20" s="44" t="s">
        <v>39</v>
      </c>
      <c r="C20" s="45" t="s">
        <v>40</v>
      </c>
      <c r="D20" s="46">
        <v>53.45</v>
      </c>
      <c r="E20" s="47">
        <v>56.87</v>
      </c>
      <c r="F20" s="48">
        <v>35.56</v>
      </c>
      <c r="G20" s="46">
        <v>56.93</v>
      </c>
      <c r="H20" s="45">
        <v>47.09</v>
      </c>
      <c r="I20" s="46">
        <v>57.02</v>
      </c>
      <c r="J20" s="46">
        <v>61.69</v>
      </c>
      <c r="K20" s="49">
        <v>32.79</v>
      </c>
      <c r="L20" s="46">
        <v>66.67</v>
      </c>
      <c r="M20" s="46">
        <v>56.16</v>
      </c>
      <c r="N20" s="50">
        <v>0.526618064649409</v>
      </c>
      <c r="O20" s="50">
        <v>67.45</v>
      </c>
      <c r="P20" s="51">
        <v>0.478213954326323</v>
      </c>
      <c r="Q20" s="50">
        <v>0.431509075727309</v>
      </c>
      <c r="R20" s="50">
        <v>0.48547982722784</v>
      </c>
      <c r="S20" s="13">
        <v>64.5</v>
      </c>
      <c r="T20" s="13">
        <v>70.68</v>
      </c>
      <c r="U20" s="13">
        <v>68.18</v>
      </c>
      <c r="V20" s="13">
        <v>53.68</v>
      </c>
      <c r="W20" s="14"/>
      <c r="X20" s="14"/>
      <c r="Y20" s="14"/>
      <c r="Z20" s="14"/>
      <c r="AA20" s="14"/>
      <c r="AB20" s="14">
        <f t="shared" si="17"/>
        <v>57.79566855</v>
      </c>
      <c r="AC20" s="14"/>
      <c r="AD20" s="14">
        <f t="shared" ref="AD20:AE20" si="24">(D20+I20+S20)/3</f>
        <v>58.32333333</v>
      </c>
      <c r="AE20" s="14">
        <f t="shared" si="24"/>
        <v>63.08</v>
      </c>
      <c r="AF20" s="14">
        <f t="shared" ref="AF20:AG20" si="25">(G20+L20+U20)/3</f>
        <v>63.92666667</v>
      </c>
      <c r="AG20" s="14">
        <f t="shared" si="25"/>
        <v>52.31</v>
      </c>
      <c r="AH20" s="14"/>
      <c r="AI20" s="14">
        <f t="shared" si="20"/>
        <v>59.41</v>
      </c>
      <c r="AJ20" s="14">
        <f t="shared" si="21"/>
        <v>61.77666667</v>
      </c>
    </row>
    <row r="21">
      <c r="C21" s="52" t="s">
        <v>41</v>
      </c>
      <c r="D21" s="53">
        <v>51.94</v>
      </c>
      <c r="E21" s="53">
        <v>55.32</v>
      </c>
      <c r="F21" s="54">
        <v>32.89</v>
      </c>
      <c r="G21" s="53">
        <v>56.65</v>
      </c>
      <c r="H21" s="53">
        <v>45.95</v>
      </c>
      <c r="I21" s="53">
        <v>55.48</v>
      </c>
      <c r="J21" s="53">
        <v>61.56</v>
      </c>
      <c r="K21" s="54">
        <v>29.86</v>
      </c>
      <c r="L21" s="53">
        <v>68.25</v>
      </c>
      <c r="M21" s="53">
        <v>55.01</v>
      </c>
      <c r="N21" s="55">
        <v>0.527146981375586</v>
      </c>
      <c r="O21" s="55">
        <v>66.45</v>
      </c>
      <c r="P21" s="56">
        <v>0.47659075645268</v>
      </c>
      <c r="Q21" s="55">
        <v>0.435623066865375</v>
      </c>
      <c r="R21" s="55">
        <v>0.479909526364038</v>
      </c>
      <c r="S21" s="13">
        <v>64.63</v>
      </c>
      <c r="T21" s="13">
        <v>70.79</v>
      </c>
      <c r="U21" s="13">
        <v>68.2</v>
      </c>
      <c r="V21" s="13">
        <v>52.24</v>
      </c>
      <c r="W21" s="14"/>
      <c r="X21" s="14"/>
      <c r="Y21" s="14"/>
      <c r="Z21" s="14"/>
      <c r="AA21" s="14"/>
      <c r="AB21" s="14">
        <f t="shared" si="17"/>
        <v>57.29612234</v>
      </c>
      <c r="AC21" s="14"/>
      <c r="AD21" s="14">
        <f t="shared" ref="AD21:AE21" si="26">(D21+I21+S21)/3</f>
        <v>57.35</v>
      </c>
      <c r="AE21" s="14">
        <f t="shared" si="26"/>
        <v>62.55666667</v>
      </c>
      <c r="AF21" s="14">
        <f t="shared" ref="AF21:AG21" si="27">(G21+L21+U21)/3</f>
        <v>64.36666667</v>
      </c>
      <c r="AG21" s="14">
        <f t="shared" si="27"/>
        <v>51.06666667</v>
      </c>
      <c r="AH21" s="14"/>
      <c r="AI21" s="14">
        <f t="shared" si="20"/>
        <v>58.835</v>
      </c>
      <c r="AJ21" s="14">
        <f t="shared" si="21"/>
        <v>61.42444444</v>
      </c>
    </row>
    <row r="22">
      <c r="F22" s="1"/>
      <c r="K22" s="1"/>
      <c r="N22" s="14"/>
      <c r="O22" s="14"/>
      <c r="P22" s="25"/>
      <c r="Q22" s="14"/>
      <c r="R22" s="14"/>
      <c r="S22" s="14"/>
      <c r="T22" s="14"/>
      <c r="U22" s="14"/>
      <c r="V22" s="14"/>
      <c r="W22" s="14"/>
      <c r="X22" s="14"/>
      <c r="Y22" s="14"/>
      <c r="Z22" s="14"/>
      <c r="AA22" s="14"/>
      <c r="AB22" s="14"/>
      <c r="AC22" s="14"/>
      <c r="AD22" s="14"/>
      <c r="AE22" s="14"/>
      <c r="AF22" s="14"/>
      <c r="AG22" s="14"/>
      <c r="AH22" s="14"/>
      <c r="AI22" s="14"/>
      <c r="AJ22" s="14"/>
    </row>
    <row r="23">
      <c r="A23" s="3" t="s">
        <v>42</v>
      </c>
      <c r="B23" s="44" t="s">
        <v>43</v>
      </c>
      <c r="C23" s="3" t="s">
        <v>44</v>
      </c>
      <c r="F23" s="1"/>
      <c r="K23" s="1"/>
      <c r="N23" s="14"/>
      <c r="O23" s="14"/>
      <c r="P23" s="25"/>
      <c r="Q23" s="14"/>
      <c r="R23" s="14"/>
      <c r="S23" s="14"/>
      <c r="T23" s="14"/>
      <c r="U23" s="14"/>
      <c r="V23" s="14"/>
      <c r="W23" s="14"/>
      <c r="X23" s="14"/>
      <c r="Y23" s="14"/>
      <c r="Z23" s="14"/>
      <c r="AA23" s="14"/>
      <c r="AB23" s="14">
        <f>(D23+E23+G23+H23+I23+J23+L23+M23+(N23+Q23+R23)*100+O23+S23+T23+U23+V23)/16</f>
        <v>0</v>
      </c>
      <c r="AC23" s="14"/>
      <c r="AD23" s="14">
        <f t="shared" ref="AD23:AE23" si="28">(D23+I23+S23)/3</f>
        <v>0</v>
      </c>
      <c r="AE23" s="14">
        <f t="shared" si="28"/>
        <v>0</v>
      </c>
      <c r="AF23" s="14">
        <f t="shared" ref="AF23:AG23" si="29">(G23+L23+U23)/3</f>
        <v>0</v>
      </c>
      <c r="AG23" s="14">
        <f t="shared" si="29"/>
        <v>0</v>
      </c>
      <c r="AH23" s="14"/>
      <c r="AI23" s="14">
        <f>SUM(AD23:AG23)/4</f>
        <v>0</v>
      </c>
      <c r="AJ23" s="14">
        <f>(AD23+AE23+AF23)/3</f>
        <v>0</v>
      </c>
    </row>
    <row r="24">
      <c r="C24" s="3"/>
      <c r="F24" s="1"/>
      <c r="K24" s="1"/>
      <c r="N24" s="14"/>
      <c r="O24" s="14"/>
      <c r="P24" s="25"/>
      <c r="Q24" s="14"/>
      <c r="R24" s="14"/>
      <c r="S24" s="14"/>
      <c r="T24" s="14"/>
      <c r="U24" s="14"/>
      <c r="V24" s="14"/>
      <c r="W24" s="14"/>
      <c r="X24" s="14"/>
      <c r="Y24" s="14"/>
      <c r="Z24" s="14"/>
      <c r="AA24" s="14"/>
      <c r="AB24" s="14"/>
      <c r="AC24" s="14"/>
      <c r="AD24" s="14"/>
      <c r="AE24" s="14"/>
      <c r="AF24" s="14"/>
      <c r="AG24" s="14"/>
      <c r="AH24" s="14"/>
      <c r="AI24" s="14"/>
      <c r="AJ24" s="14"/>
    </row>
    <row r="25">
      <c r="C25" s="3"/>
      <c r="F25" s="1"/>
      <c r="K25" s="1"/>
      <c r="N25" s="14"/>
      <c r="O25" s="14"/>
      <c r="P25" s="25"/>
      <c r="Q25" s="14"/>
      <c r="R25" s="14"/>
      <c r="S25" s="14"/>
      <c r="T25" s="14"/>
      <c r="U25" s="14"/>
      <c r="V25" s="14"/>
      <c r="W25" s="14"/>
      <c r="X25" s="14"/>
      <c r="Y25" s="14"/>
      <c r="Z25" s="14"/>
      <c r="AA25" s="14"/>
      <c r="AB25" s="14"/>
      <c r="AC25" s="14"/>
      <c r="AD25" s="14"/>
      <c r="AE25" s="14"/>
      <c r="AF25" s="14"/>
      <c r="AG25" s="14"/>
      <c r="AH25" s="14"/>
      <c r="AI25" s="14"/>
      <c r="AJ25" s="14"/>
    </row>
    <row r="26">
      <c r="F26" s="1"/>
      <c r="K26" s="1"/>
      <c r="N26" s="14"/>
      <c r="O26" s="14"/>
      <c r="P26" s="25"/>
      <c r="Q26" s="14"/>
      <c r="R26" s="14"/>
      <c r="S26" s="14"/>
      <c r="T26" s="14"/>
      <c r="U26" s="14"/>
      <c r="V26" s="14"/>
      <c r="W26" s="14"/>
      <c r="X26" s="14"/>
      <c r="Y26" s="14"/>
      <c r="Z26" s="14"/>
      <c r="AA26" s="14"/>
      <c r="AB26" s="14"/>
      <c r="AC26" s="14"/>
      <c r="AD26" s="14"/>
      <c r="AE26" s="14"/>
      <c r="AF26" s="14"/>
      <c r="AG26" s="14"/>
      <c r="AH26" s="14"/>
      <c r="AI26" s="14"/>
      <c r="AJ26" s="14"/>
    </row>
    <row r="27">
      <c r="B27" s="44" t="s">
        <v>45</v>
      </c>
      <c r="C27" s="3" t="s">
        <v>46</v>
      </c>
      <c r="D27" s="16">
        <v>48.99</v>
      </c>
      <c r="E27" s="24">
        <v>47.93</v>
      </c>
      <c r="F27" s="57">
        <v>29.53</v>
      </c>
      <c r="G27" s="16">
        <v>51.2</v>
      </c>
      <c r="H27" s="16">
        <v>40.94</v>
      </c>
      <c r="I27" s="2">
        <v>56.17</v>
      </c>
      <c r="J27" s="2">
        <v>58.33</v>
      </c>
      <c r="K27" s="15">
        <v>36.37</v>
      </c>
      <c r="L27" s="2">
        <v>64.44</v>
      </c>
      <c r="M27" s="2">
        <v>55.5</v>
      </c>
      <c r="N27" s="13">
        <v>0.524870314437559</v>
      </c>
      <c r="O27" s="13">
        <v>61.01</v>
      </c>
      <c r="P27" s="17">
        <v>0.463521416734135</v>
      </c>
      <c r="Q27" s="13">
        <v>0.41492453609056</v>
      </c>
      <c r="R27" s="13">
        <v>0.478394243656881</v>
      </c>
      <c r="S27" s="13"/>
      <c r="T27" s="13"/>
      <c r="U27" s="13"/>
      <c r="V27" s="13"/>
      <c r="W27" s="14"/>
      <c r="X27" s="14"/>
      <c r="Y27" s="14"/>
      <c r="Z27" s="14"/>
      <c r="AA27" s="14"/>
      <c r="AB27" s="14"/>
      <c r="AC27" s="14"/>
      <c r="AD27" s="14"/>
      <c r="AE27" s="14"/>
      <c r="AF27" s="14"/>
      <c r="AG27" s="14"/>
      <c r="AH27" s="14"/>
      <c r="AI27" s="14"/>
      <c r="AJ27" s="14"/>
      <c r="AM27" s="43">
        <f>(D27+E27+G27+H27+I27+J27+L27+M27)/8</f>
        <v>52.9375</v>
      </c>
    </row>
    <row r="28">
      <c r="F28" s="1"/>
      <c r="K28" s="1"/>
      <c r="N28" s="14"/>
      <c r="O28" s="14"/>
      <c r="P28" s="25"/>
      <c r="Q28" s="14"/>
      <c r="R28" s="14"/>
      <c r="S28" s="14"/>
      <c r="T28" s="14"/>
      <c r="U28" s="14"/>
      <c r="V28" s="14"/>
      <c r="W28" s="14"/>
      <c r="X28" s="14"/>
      <c r="Y28" s="14"/>
      <c r="Z28" s="14"/>
      <c r="AA28" s="14"/>
      <c r="AB28" s="14"/>
      <c r="AC28" s="14"/>
      <c r="AD28" s="14"/>
      <c r="AE28" s="14"/>
      <c r="AF28" s="14"/>
      <c r="AG28" s="14"/>
      <c r="AH28" s="14"/>
      <c r="AI28" s="14"/>
      <c r="AJ28" s="14"/>
    </row>
    <row r="29">
      <c r="B29" s="3"/>
      <c r="F29" s="1"/>
      <c r="K29" s="1"/>
      <c r="N29" s="14"/>
      <c r="O29" s="14"/>
      <c r="P29" s="25"/>
      <c r="Q29" s="14"/>
      <c r="R29" s="14"/>
      <c r="S29" s="14"/>
      <c r="T29" s="14"/>
      <c r="U29" s="14"/>
      <c r="V29" s="14"/>
      <c r="W29" s="14"/>
      <c r="X29" s="14"/>
      <c r="Y29" s="14"/>
      <c r="Z29" s="14"/>
      <c r="AA29" s="14"/>
      <c r="AB29" s="14"/>
      <c r="AC29" s="14"/>
      <c r="AD29" s="14"/>
      <c r="AE29" s="14"/>
      <c r="AF29" s="14"/>
      <c r="AG29" s="14"/>
      <c r="AH29" s="14"/>
      <c r="AI29" s="14"/>
      <c r="AJ29" s="14"/>
    </row>
    <row r="30">
      <c r="B30" s="3"/>
      <c r="C30" s="58" t="s">
        <v>47</v>
      </c>
      <c r="F30" s="1"/>
      <c r="K30" s="1"/>
      <c r="N30" s="14"/>
      <c r="O30" s="14"/>
      <c r="P30" s="25"/>
      <c r="Q30" s="14"/>
      <c r="R30" s="14"/>
      <c r="S30" s="14"/>
      <c r="T30" s="14"/>
      <c r="U30" s="14"/>
      <c r="V30" s="14"/>
      <c r="W30" s="14"/>
      <c r="X30" s="14"/>
      <c r="Y30" s="14"/>
      <c r="Z30" s="14"/>
      <c r="AA30" s="14"/>
      <c r="AB30" s="14"/>
      <c r="AC30" s="14"/>
      <c r="AD30" s="14"/>
      <c r="AE30" s="14"/>
      <c r="AF30" s="14"/>
      <c r="AG30" s="14"/>
      <c r="AH30" s="14"/>
      <c r="AI30" s="14"/>
      <c r="AJ30" s="14"/>
    </row>
    <row r="31">
      <c r="B31" s="2" t="s">
        <v>48</v>
      </c>
      <c r="C31" s="3" t="s">
        <v>49</v>
      </c>
      <c r="D31" s="59">
        <v>65.43</v>
      </c>
      <c r="E31" s="59">
        <v>56.87</v>
      </c>
      <c r="F31" s="60">
        <v>33.57</v>
      </c>
      <c r="G31" s="59">
        <v>60.26</v>
      </c>
      <c r="H31" s="61">
        <v>45.61</v>
      </c>
      <c r="I31" s="59">
        <v>71.51</v>
      </c>
      <c r="J31" s="59">
        <v>59.32</v>
      </c>
      <c r="K31" s="60">
        <v>36.96</v>
      </c>
      <c r="L31" s="59">
        <v>71.43</v>
      </c>
      <c r="M31" s="59">
        <v>53.26</v>
      </c>
      <c r="N31" s="62">
        <v>0.545963150359882</v>
      </c>
      <c r="O31" s="62">
        <v>67.8</v>
      </c>
      <c r="P31" s="63">
        <v>0.484198148058236</v>
      </c>
      <c r="Q31" s="62">
        <v>0.435309609105462</v>
      </c>
      <c r="R31" s="62">
        <v>0.489494918480778</v>
      </c>
      <c r="S31" s="62">
        <v>70.2</v>
      </c>
      <c r="T31" s="62">
        <v>72.42</v>
      </c>
      <c r="U31" s="62">
        <v>70.78</v>
      </c>
      <c r="V31" s="62">
        <v>51.49</v>
      </c>
      <c r="W31" s="14"/>
      <c r="X31" s="14"/>
      <c r="Y31" s="14"/>
      <c r="Z31" s="14"/>
      <c r="AA31" s="14"/>
      <c r="AB31" s="14">
        <f t="shared" ref="AB31:AB32" si="32">(D31+E31+G31+H31+I31+J31+L31+M31+(N31+Q31+R31)*100+O31+S31+T31+U31+V31)/16</f>
        <v>60.21604799</v>
      </c>
      <c r="AC31" s="14"/>
      <c r="AD31" s="14">
        <f t="shared" ref="AD31:AE31" si="30">(D31+I31+S31)/3</f>
        <v>69.04666667</v>
      </c>
      <c r="AE31" s="14">
        <f t="shared" si="30"/>
        <v>62.87</v>
      </c>
      <c r="AF31" s="14">
        <f t="shared" ref="AF31:AG31" si="31">(G31+L31+U31)/3</f>
        <v>67.49</v>
      </c>
      <c r="AG31" s="14">
        <f t="shared" si="31"/>
        <v>50.12</v>
      </c>
      <c r="AH31" s="14"/>
      <c r="AI31" s="14">
        <f t="shared" ref="AI31:AI32" si="35">SUM(AD31:AG31)/4</f>
        <v>62.38166667</v>
      </c>
      <c r="AJ31" s="14">
        <f t="shared" ref="AJ31:AJ32" si="36">(AD31+AE31+AF31)/3</f>
        <v>66.46888889</v>
      </c>
    </row>
    <row r="32">
      <c r="C32" s="3" t="s">
        <v>50</v>
      </c>
      <c r="D32" s="3">
        <v>78.71</v>
      </c>
      <c r="E32" s="3">
        <v>85.25</v>
      </c>
      <c r="F32" s="5">
        <v>70.93</v>
      </c>
      <c r="G32" s="64">
        <v>67.21</v>
      </c>
      <c r="H32" s="3">
        <v>49.49</v>
      </c>
      <c r="I32" s="3">
        <v>79.18</v>
      </c>
      <c r="J32" s="3">
        <v>92.19</v>
      </c>
      <c r="K32" s="5">
        <v>75.54</v>
      </c>
      <c r="L32" s="3">
        <v>79.37</v>
      </c>
      <c r="M32" s="3">
        <v>48.6</v>
      </c>
      <c r="N32" s="39">
        <v>0.562792160272104</v>
      </c>
      <c r="O32" s="39">
        <v>79.53</v>
      </c>
      <c r="P32" s="40">
        <v>0.515793659221944</v>
      </c>
      <c r="Q32" s="39">
        <v>0.44477608249069</v>
      </c>
      <c r="R32" s="39">
        <v>0.510926722779711</v>
      </c>
      <c r="S32" s="39">
        <v>70.55</v>
      </c>
      <c r="T32" s="39">
        <v>78.8</v>
      </c>
      <c r="U32" s="39">
        <v>67.0</v>
      </c>
      <c r="V32" s="39">
        <v>50.16</v>
      </c>
      <c r="W32" s="14"/>
      <c r="X32" s="14"/>
      <c r="Y32" s="14"/>
      <c r="Z32" s="14"/>
      <c r="AA32" s="14"/>
      <c r="AB32" s="14">
        <f t="shared" si="32"/>
        <v>67.36809353</v>
      </c>
      <c r="AC32" s="14"/>
      <c r="AD32" s="14">
        <f t="shared" ref="AD32:AE32" si="33">(D32+I32+S32)/3</f>
        <v>76.14666667</v>
      </c>
      <c r="AE32" s="14">
        <f t="shared" si="33"/>
        <v>85.41333333</v>
      </c>
      <c r="AF32" s="14">
        <f t="shared" ref="AF32:AG32" si="34">(G32+L32+U32)/3</f>
        <v>71.19333333</v>
      </c>
      <c r="AG32" s="14">
        <f t="shared" si="34"/>
        <v>49.41666667</v>
      </c>
      <c r="AH32" s="14"/>
      <c r="AI32" s="14">
        <f t="shared" si="35"/>
        <v>70.5425</v>
      </c>
      <c r="AJ32" s="14">
        <f t="shared" si="36"/>
        <v>77.58444444</v>
      </c>
    </row>
    <row r="33">
      <c r="F33" s="1"/>
      <c r="K33" s="1"/>
      <c r="P33" s="1"/>
    </row>
    <row r="34">
      <c r="F34" s="1"/>
      <c r="K34" s="1"/>
      <c r="P34" s="1"/>
    </row>
    <row r="35">
      <c r="F35" s="1"/>
      <c r="K35" s="1"/>
      <c r="P35" s="1"/>
    </row>
    <row r="36">
      <c r="E36" s="2" t="s">
        <v>51</v>
      </c>
      <c r="F36" s="1"/>
      <c r="K36" s="1"/>
      <c r="P36" s="1"/>
    </row>
    <row r="37">
      <c r="C37" s="3"/>
      <c r="F37" s="1"/>
      <c r="K37" s="1"/>
      <c r="P37" s="1"/>
    </row>
    <row r="38">
      <c r="F38" s="1"/>
      <c r="K38" s="1"/>
      <c r="P38" s="1"/>
    </row>
    <row r="39">
      <c r="F39" s="1"/>
      <c r="K39" s="1"/>
      <c r="P39" s="1"/>
    </row>
    <row r="40">
      <c r="B40" s="44" t="s">
        <v>45</v>
      </c>
      <c r="C40" s="3" t="s">
        <v>52</v>
      </c>
      <c r="D40" s="2" t="s">
        <v>53</v>
      </c>
      <c r="E40" s="2" t="s">
        <v>54</v>
      </c>
      <c r="F40" s="2" t="s">
        <v>55</v>
      </c>
      <c r="K40" s="1"/>
      <c r="P40" s="1"/>
    </row>
    <row r="41">
      <c r="B41" s="44" t="s">
        <v>45</v>
      </c>
      <c r="C41" s="65" t="s">
        <v>56</v>
      </c>
      <c r="D41" s="65">
        <v>75.16</v>
      </c>
      <c r="E41" s="66">
        <v>62.02</v>
      </c>
      <c r="F41" s="66">
        <v>72.97</v>
      </c>
      <c r="K41" s="1"/>
      <c r="P41" s="1"/>
    </row>
    <row r="42">
      <c r="C42" s="3"/>
      <c r="E42" s="67"/>
      <c r="F42" s="5"/>
      <c r="J42" s="67"/>
      <c r="K42" s="5"/>
      <c r="O42" s="67"/>
      <c r="P42" s="5"/>
    </row>
    <row r="43">
      <c r="F43" s="1"/>
      <c r="K43" s="1"/>
      <c r="P43" s="1"/>
    </row>
    <row r="44">
      <c r="F44" s="1"/>
      <c r="K44" s="1"/>
      <c r="P44" s="1"/>
    </row>
    <row r="47">
      <c r="S47" s="3"/>
      <c r="T47" s="3"/>
      <c r="U47" s="3"/>
      <c r="V47" s="3"/>
    </row>
    <row r="48">
      <c r="S48" s="2"/>
      <c r="T48" s="2"/>
      <c r="U48" s="2"/>
      <c r="V48" s="2"/>
    </row>
    <row r="50">
      <c r="S50" s="59"/>
      <c r="T50" s="59"/>
      <c r="U50" s="59"/>
      <c r="V50" s="59"/>
    </row>
    <row r="51">
      <c r="S51" s="2"/>
      <c r="T51" s="2"/>
      <c r="U51" s="2"/>
      <c r="V51" s="2"/>
    </row>
    <row r="53">
      <c r="F53" s="1"/>
      <c r="K53" s="1"/>
      <c r="P53" s="1"/>
    </row>
    <row r="54">
      <c r="F54" s="1"/>
      <c r="K54" s="1"/>
      <c r="P54" s="1"/>
    </row>
    <row r="55">
      <c r="C55" s="2" t="s">
        <v>57</v>
      </c>
      <c r="F55" s="1"/>
      <c r="K55" s="1"/>
      <c r="P55" s="1"/>
    </row>
    <row r="56">
      <c r="B56" s="2" t="s">
        <v>58</v>
      </c>
      <c r="F56" s="1"/>
      <c r="K56" s="1"/>
      <c r="P56" s="1"/>
    </row>
    <row r="57">
      <c r="C57" s="3" t="s">
        <v>37</v>
      </c>
      <c r="D57" s="3">
        <v>55.21</v>
      </c>
      <c r="E57" s="64"/>
      <c r="F57" s="42">
        <v>33.61</v>
      </c>
      <c r="G57" s="3">
        <v>57.9</v>
      </c>
      <c r="H57" s="3">
        <v>46.18</v>
      </c>
      <c r="I57" s="2">
        <v>58.63</v>
      </c>
      <c r="J57" s="16"/>
      <c r="K57" s="57">
        <v>32.52</v>
      </c>
      <c r="L57" s="2">
        <v>68.25</v>
      </c>
      <c r="M57" s="16">
        <v>56.05</v>
      </c>
      <c r="N57" s="3">
        <v>0.533408141505302</v>
      </c>
      <c r="O57" s="3"/>
      <c r="P57" s="5">
        <v>0.47968961690472</v>
      </c>
      <c r="Q57" s="3">
        <v>0.430592452201895</v>
      </c>
      <c r="R57" s="3">
        <v>0.491819197298873</v>
      </c>
    </row>
    <row r="58">
      <c r="C58" s="3" t="s">
        <v>59</v>
      </c>
      <c r="D58" s="2">
        <v>52.31</v>
      </c>
      <c r="E58" s="16"/>
      <c r="F58" s="57">
        <v>31.55</v>
      </c>
      <c r="G58" s="2">
        <v>57.1</v>
      </c>
      <c r="H58" s="2">
        <v>46.29</v>
      </c>
      <c r="I58" s="3">
        <v>59.55</v>
      </c>
      <c r="J58" s="3"/>
      <c r="K58" s="5">
        <v>36.55</v>
      </c>
      <c r="L58" s="3">
        <v>68.89</v>
      </c>
      <c r="M58" s="3">
        <v>58.78</v>
      </c>
      <c r="N58" s="2">
        <v>0.528166225408755</v>
      </c>
      <c r="O58" s="2"/>
      <c r="P58" s="15">
        <v>0.473669939827214</v>
      </c>
      <c r="Q58" s="2">
        <v>0.42568462612102</v>
      </c>
      <c r="R58" s="2">
        <v>0.488209315412092</v>
      </c>
    </row>
    <row r="59">
      <c r="F59" s="1"/>
      <c r="K59" s="1"/>
      <c r="P59" s="1"/>
    </row>
    <row r="60">
      <c r="C60" s="3" t="s">
        <v>49</v>
      </c>
      <c r="D60" s="59">
        <v>65.43</v>
      </c>
      <c r="E60" s="59"/>
      <c r="F60" s="60">
        <v>33.57</v>
      </c>
      <c r="G60" s="59">
        <v>60.26</v>
      </c>
      <c r="H60" s="61">
        <v>45.61</v>
      </c>
      <c r="I60" s="16">
        <v>68.75</v>
      </c>
      <c r="J60" s="2"/>
      <c r="K60" s="15">
        <v>32.44</v>
      </c>
      <c r="L60" s="16">
        <v>69.21</v>
      </c>
      <c r="M60" s="16">
        <v>50.9</v>
      </c>
      <c r="N60" s="59">
        <v>0.545963150359882</v>
      </c>
      <c r="O60" s="59"/>
      <c r="P60" s="60">
        <v>0.484198148058236</v>
      </c>
      <c r="Q60" s="59">
        <v>0.435309609105462</v>
      </c>
      <c r="R60" s="59">
        <v>0.489494918480778</v>
      </c>
    </row>
    <row r="61">
      <c r="C61" s="3" t="s">
        <v>60</v>
      </c>
      <c r="D61" s="2">
        <v>64.49</v>
      </c>
      <c r="E61" s="2"/>
      <c r="F61" s="15">
        <v>32.49</v>
      </c>
      <c r="G61" s="2">
        <v>59.01</v>
      </c>
      <c r="H61" s="2">
        <v>44.47</v>
      </c>
      <c r="I61" s="59">
        <v>71.51</v>
      </c>
      <c r="J61" s="59"/>
      <c r="K61" s="60">
        <v>36.96</v>
      </c>
      <c r="L61" s="59">
        <v>71.43</v>
      </c>
      <c r="M61" s="59">
        <v>53.26</v>
      </c>
      <c r="N61" s="2">
        <v>0.543956408922783</v>
      </c>
      <c r="O61" s="2"/>
      <c r="P61" s="15">
        <v>0.474963463965171</v>
      </c>
      <c r="Q61" s="2">
        <v>0.430816385453446</v>
      </c>
      <c r="R61" s="2">
        <v>0.483033844866077</v>
      </c>
    </row>
    <row r="62">
      <c r="F62" s="1"/>
      <c r="K62" s="1"/>
      <c r="P62" s="1"/>
    </row>
    <row r="63">
      <c r="F63" s="1"/>
      <c r="K63" s="1"/>
      <c r="P63" s="1"/>
    </row>
    <row r="64">
      <c r="F64" s="1"/>
      <c r="K64" s="1"/>
      <c r="P64" s="1"/>
    </row>
    <row r="65">
      <c r="F65" s="1"/>
      <c r="K65" s="1"/>
      <c r="P65" s="1"/>
    </row>
    <row r="66">
      <c r="F66" s="1"/>
      <c r="K66" s="1"/>
      <c r="P66" s="1"/>
    </row>
    <row r="67">
      <c r="F67" s="1"/>
      <c r="K67" s="1"/>
      <c r="P67" s="1"/>
    </row>
    <row r="68">
      <c r="F68" s="1"/>
      <c r="K68" s="1"/>
      <c r="P68" s="1"/>
    </row>
    <row r="69">
      <c r="F69" s="1"/>
      <c r="K69" s="1"/>
      <c r="P69" s="1"/>
    </row>
    <row r="70">
      <c r="F70" s="1"/>
      <c r="K70" s="1"/>
      <c r="P70" s="1"/>
    </row>
    <row r="71">
      <c r="C71" s="3"/>
      <c r="D71" s="68" t="s">
        <v>61</v>
      </c>
      <c r="E71" s="68" t="s">
        <v>53</v>
      </c>
      <c r="F71" s="68" t="s">
        <v>62</v>
      </c>
      <c r="K71" s="1"/>
      <c r="P71" s="1"/>
    </row>
    <row r="72">
      <c r="D72" s="2" t="s">
        <v>63</v>
      </c>
      <c r="E72" s="69" t="s">
        <v>63</v>
      </c>
      <c r="F72" s="69" t="s">
        <v>63</v>
      </c>
      <c r="K72" s="1"/>
      <c r="P72" s="1"/>
    </row>
    <row r="73">
      <c r="C73" s="65" t="s">
        <v>56</v>
      </c>
      <c r="D73" s="66">
        <v>71.83</v>
      </c>
      <c r="E73" s="65">
        <v>75.16</v>
      </c>
      <c r="F73" s="66">
        <v>74.68</v>
      </c>
      <c r="K73" s="1"/>
      <c r="P73" s="1"/>
    </row>
    <row r="74">
      <c r="B74" s="2" t="s">
        <v>64</v>
      </c>
      <c r="C74" s="3" t="s">
        <v>65</v>
      </c>
      <c r="D74" s="2">
        <v>71.5</v>
      </c>
      <c r="E74" s="2">
        <v>74.24</v>
      </c>
      <c r="F74" s="2">
        <v>75.07</v>
      </c>
      <c r="K74" s="1"/>
      <c r="P74" s="1"/>
    </row>
    <row r="75">
      <c r="C75" s="3" t="s">
        <v>66</v>
      </c>
      <c r="D75" s="2">
        <v>67.0</v>
      </c>
      <c r="E75" s="2">
        <v>73.23</v>
      </c>
      <c r="F75" s="2">
        <v>74.86</v>
      </c>
      <c r="K75" s="1"/>
      <c r="P75" s="1"/>
    </row>
    <row r="76">
      <c r="C76" s="3" t="s">
        <v>67</v>
      </c>
      <c r="D76" s="2">
        <v>71.17</v>
      </c>
      <c r="E76" s="3">
        <v>76.01</v>
      </c>
      <c r="F76" s="3">
        <v>76.01</v>
      </c>
      <c r="K76" s="1"/>
      <c r="P76" s="1"/>
    </row>
    <row r="77">
      <c r="C77" s="3" t="s">
        <v>68</v>
      </c>
      <c r="D77" s="2">
        <v>67.0</v>
      </c>
      <c r="E77" s="2">
        <v>73.62</v>
      </c>
      <c r="F77" s="2">
        <v>73.66</v>
      </c>
      <c r="K77" s="1"/>
      <c r="P77" s="1"/>
    </row>
    <row r="78">
      <c r="C78" s="3" t="s">
        <v>69</v>
      </c>
      <c r="D78" s="2">
        <v>66.25</v>
      </c>
      <c r="E78" s="3">
        <v>74.56</v>
      </c>
      <c r="F78" s="16">
        <v>74.77</v>
      </c>
      <c r="K78" s="1"/>
      <c r="P78" s="1"/>
    </row>
    <row r="79">
      <c r="C79" s="2" t="s">
        <v>70</v>
      </c>
      <c r="K79" s="1"/>
      <c r="P79" s="1"/>
    </row>
    <row r="80">
      <c r="C80" s="2" t="s">
        <v>71</v>
      </c>
      <c r="D80" s="15"/>
      <c r="E80" s="2">
        <v>72.56</v>
      </c>
      <c r="K80" s="1"/>
      <c r="P80" s="1"/>
    </row>
    <row r="81">
      <c r="C81" s="2" t="s">
        <v>72</v>
      </c>
      <c r="E81" s="2">
        <v>73.39</v>
      </c>
      <c r="K81" s="1"/>
      <c r="P81" s="1"/>
    </row>
    <row r="82">
      <c r="C82" s="70"/>
      <c r="K82" s="1"/>
      <c r="P82" s="1"/>
    </row>
    <row r="83">
      <c r="K83" s="1"/>
      <c r="P83" s="1"/>
    </row>
    <row r="84">
      <c r="B84" s="3" t="s">
        <v>73</v>
      </c>
      <c r="K84" s="1"/>
      <c r="P84" s="1"/>
    </row>
    <row r="85">
      <c r="K85" s="1"/>
      <c r="P85" s="1"/>
    </row>
    <row r="86">
      <c r="K86" s="1"/>
      <c r="P86" s="1"/>
    </row>
    <row r="87">
      <c r="K87" s="1"/>
      <c r="P87" s="1"/>
    </row>
    <row r="88">
      <c r="K88" s="1"/>
      <c r="P88" s="1"/>
    </row>
    <row r="89">
      <c r="K89" s="1"/>
      <c r="P89" s="1"/>
    </row>
    <row r="90">
      <c r="F90" s="1"/>
      <c r="K90" s="1"/>
      <c r="P90" s="1"/>
    </row>
    <row r="91">
      <c r="F91" s="1"/>
      <c r="K91" s="1"/>
      <c r="P91" s="1"/>
    </row>
    <row r="92">
      <c r="F92" s="1"/>
      <c r="K92" s="1"/>
      <c r="P92" s="1"/>
    </row>
    <row r="93">
      <c r="F93" s="1"/>
      <c r="K93" s="1"/>
      <c r="P93" s="1"/>
    </row>
    <row r="94">
      <c r="F94" s="1"/>
      <c r="K94" s="1"/>
      <c r="P94" s="1"/>
    </row>
    <row r="95">
      <c r="F95" s="1"/>
      <c r="K95" s="1"/>
      <c r="P95" s="1"/>
    </row>
    <row r="96">
      <c r="F96" s="1"/>
      <c r="K96" s="1"/>
      <c r="P96" s="1"/>
    </row>
    <row r="97">
      <c r="F97" s="1"/>
      <c r="K97" s="1"/>
      <c r="P97" s="1"/>
    </row>
    <row r="98">
      <c r="F98" s="1"/>
      <c r="K98" s="1"/>
      <c r="P98" s="1"/>
    </row>
    <row r="99">
      <c r="F99" s="1"/>
      <c r="K99" s="1"/>
      <c r="P99" s="1"/>
    </row>
    <row r="100">
      <c r="F100" s="1"/>
      <c r="K100" s="1"/>
      <c r="P100" s="1"/>
    </row>
    <row r="101">
      <c r="F101" s="1"/>
      <c r="K101" s="1"/>
      <c r="P101" s="1"/>
    </row>
    <row r="102">
      <c r="F102" s="1"/>
      <c r="K102" s="1"/>
      <c r="P102" s="1"/>
    </row>
    <row r="103">
      <c r="F103" s="1"/>
      <c r="K103" s="1"/>
      <c r="P103" s="1"/>
    </row>
    <row r="104">
      <c r="F104" s="1"/>
      <c r="K104" s="1"/>
      <c r="P104" s="1"/>
    </row>
    <row r="105">
      <c r="F105" s="1"/>
      <c r="K105" s="1"/>
      <c r="P105" s="1"/>
    </row>
    <row r="106">
      <c r="F106" s="1"/>
      <c r="K106" s="1"/>
      <c r="P106" s="1"/>
    </row>
    <row r="107">
      <c r="F107" s="1"/>
      <c r="K107" s="1"/>
      <c r="P107" s="1"/>
    </row>
    <row r="108">
      <c r="F108" s="1"/>
      <c r="K108" s="1"/>
      <c r="P108" s="1"/>
    </row>
    <row r="109">
      <c r="F109" s="1"/>
      <c r="K109" s="1"/>
      <c r="P109" s="1"/>
    </row>
    <row r="110">
      <c r="F110" s="1"/>
      <c r="K110" s="1"/>
      <c r="P110" s="1"/>
    </row>
    <row r="111">
      <c r="F111" s="1"/>
      <c r="K111" s="1"/>
      <c r="P111" s="1"/>
    </row>
    <row r="112">
      <c r="F112" s="1"/>
      <c r="K112" s="1"/>
      <c r="P112" s="1"/>
    </row>
    <row r="113">
      <c r="F113" s="1"/>
      <c r="K113" s="1"/>
      <c r="P113" s="1"/>
    </row>
    <row r="114">
      <c r="F114" s="1"/>
      <c r="K114" s="1"/>
      <c r="P114" s="1"/>
    </row>
    <row r="115">
      <c r="F115" s="1"/>
      <c r="K115" s="1"/>
      <c r="P115" s="1"/>
    </row>
    <row r="116">
      <c r="F116" s="1"/>
      <c r="K116" s="1"/>
      <c r="P116" s="1"/>
    </row>
    <row r="117">
      <c r="F117" s="1"/>
      <c r="K117" s="1"/>
      <c r="P117" s="1"/>
    </row>
    <row r="118">
      <c r="F118" s="1"/>
      <c r="K118" s="1"/>
      <c r="P118" s="1"/>
    </row>
    <row r="119">
      <c r="F119" s="1"/>
      <c r="K119" s="1"/>
      <c r="P119" s="1"/>
    </row>
    <row r="120">
      <c r="F120" s="1"/>
      <c r="K120" s="1"/>
      <c r="P120" s="1"/>
    </row>
    <row r="121">
      <c r="F121" s="1"/>
      <c r="K121" s="1"/>
      <c r="P121" s="1"/>
    </row>
    <row r="122">
      <c r="F122" s="1"/>
      <c r="K122" s="1"/>
      <c r="P122" s="1"/>
    </row>
    <row r="123">
      <c r="F123" s="1"/>
      <c r="K123" s="1"/>
      <c r="P123" s="1"/>
    </row>
    <row r="124">
      <c r="F124" s="1"/>
      <c r="K124" s="1"/>
      <c r="P124" s="1"/>
    </row>
    <row r="125">
      <c r="F125" s="1"/>
      <c r="K125" s="1"/>
      <c r="P125" s="1"/>
    </row>
    <row r="126">
      <c r="F126" s="1"/>
      <c r="K126" s="1"/>
      <c r="P126" s="1"/>
    </row>
    <row r="127">
      <c r="F127" s="1"/>
      <c r="K127" s="1"/>
      <c r="P127" s="1"/>
    </row>
    <row r="128">
      <c r="F128" s="1"/>
      <c r="K128" s="1"/>
      <c r="P128" s="1"/>
    </row>
    <row r="129">
      <c r="F129" s="1"/>
      <c r="K129" s="1"/>
      <c r="P129" s="1"/>
    </row>
    <row r="130">
      <c r="F130" s="1"/>
      <c r="K130" s="1"/>
      <c r="P130" s="1"/>
    </row>
    <row r="131">
      <c r="F131" s="1"/>
      <c r="K131" s="1"/>
      <c r="P131" s="1"/>
    </row>
    <row r="132">
      <c r="F132" s="1"/>
      <c r="K132" s="1"/>
      <c r="P132" s="1"/>
    </row>
    <row r="133">
      <c r="F133" s="1"/>
      <c r="K133" s="1"/>
      <c r="P133" s="1"/>
    </row>
    <row r="134">
      <c r="F134" s="1"/>
      <c r="K134" s="1"/>
      <c r="P134" s="1"/>
    </row>
    <row r="135">
      <c r="F135" s="1"/>
      <c r="K135" s="1"/>
      <c r="P135" s="1"/>
    </row>
    <row r="136">
      <c r="F136" s="1"/>
      <c r="K136" s="1"/>
      <c r="P136" s="1"/>
    </row>
    <row r="137">
      <c r="F137" s="1"/>
      <c r="K137" s="1"/>
      <c r="P137" s="1"/>
    </row>
    <row r="138">
      <c r="F138" s="1"/>
      <c r="K138" s="1"/>
      <c r="P138" s="1"/>
    </row>
    <row r="139">
      <c r="F139" s="1"/>
      <c r="K139" s="1"/>
      <c r="P139" s="1"/>
    </row>
    <row r="140">
      <c r="F140" s="1"/>
      <c r="K140" s="1"/>
      <c r="P140" s="1"/>
    </row>
    <row r="141">
      <c r="F141" s="1"/>
      <c r="K141" s="1"/>
      <c r="P141" s="1"/>
    </row>
    <row r="142">
      <c r="F142" s="1"/>
      <c r="K142" s="1"/>
      <c r="P142" s="1"/>
    </row>
    <row r="143">
      <c r="F143" s="1"/>
      <c r="K143" s="1"/>
      <c r="P143" s="1"/>
    </row>
    <row r="144">
      <c r="F144" s="1"/>
      <c r="K144" s="1"/>
      <c r="P144" s="1"/>
    </row>
    <row r="145">
      <c r="F145" s="1"/>
      <c r="K145" s="1"/>
      <c r="P145" s="1"/>
    </row>
    <row r="146">
      <c r="F146" s="1"/>
      <c r="K146" s="1"/>
      <c r="P146" s="1"/>
    </row>
    <row r="147">
      <c r="F147" s="1"/>
      <c r="K147" s="1"/>
      <c r="P147" s="1"/>
    </row>
    <row r="148">
      <c r="F148" s="1"/>
      <c r="K148" s="1"/>
      <c r="P148" s="1"/>
    </row>
    <row r="149">
      <c r="F149" s="1"/>
      <c r="K149" s="1"/>
      <c r="P149" s="1"/>
    </row>
    <row r="150">
      <c r="F150" s="1"/>
      <c r="K150" s="1"/>
      <c r="P150" s="1"/>
    </row>
    <row r="151">
      <c r="F151" s="1"/>
      <c r="K151" s="1"/>
      <c r="P151" s="1"/>
    </row>
    <row r="152">
      <c r="F152" s="1"/>
      <c r="K152" s="1"/>
      <c r="P152" s="1"/>
    </row>
    <row r="153">
      <c r="F153" s="1"/>
      <c r="K153" s="1"/>
      <c r="P153" s="1"/>
    </row>
    <row r="154">
      <c r="F154" s="1"/>
      <c r="K154" s="1"/>
      <c r="P154" s="1"/>
    </row>
    <row r="155">
      <c r="F155" s="1"/>
      <c r="K155" s="1"/>
      <c r="P155" s="1"/>
    </row>
    <row r="156">
      <c r="F156" s="1"/>
      <c r="K156" s="1"/>
      <c r="P156" s="1"/>
    </row>
    <row r="157">
      <c r="F157" s="1"/>
      <c r="K157" s="1"/>
      <c r="P157" s="1"/>
    </row>
    <row r="158">
      <c r="F158" s="1"/>
      <c r="K158" s="1"/>
      <c r="P158" s="1"/>
    </row>
    <row r="159">
      <c r="F159" s="1"/>
      <c r="K159" s="1"/>
      <c r="P159" s="1"/>
    </row>
    <row r="160">
      <c r="F160" s="1"/>
      <c r="K160" s="1"/>
      <c r="P160" s="1"/>
    </row>
    <row r="161">
      <c r="F161" s="1"/>
      <c r="K161" s="1"/>
      <c r="P161" s="1"/>
    </row>
    <row r="162">
      <c r="F162" s="1"/>
      <c r="K162" s="1"/>
      <c r="P162" s="1"/>
    </row>
    <row r="163">
      <c r="F163" s="1"/>
      <c r="K163" s="1"/>
      <c r="P163" s="1"/>
    </row>
    <row r="164">
      <c r="F164" s="1"/>
      <c r="K164" s="1"/>
      <c r="P164" s="1"/>
    </row>
    <row r="165">
      <c r="F165" s="1"/>
      <c r="K165" s="1"/>
      <c r="P165" s="1"/>
    </row>
    <row r="166">
      <c r="F166" s="1"/>
      <c r="K166" s="1"/>
      <c r="P166" s="1"/>
    </row>
    <row r="167">
      <c r="F167" s="1"/>
      <c r="K167" s="1"/>
      <c r="P167" s="1"/>
    </row>
    <row r="168">
      <c r="F168" s="1"/>
      <c r="K168" s="1"/>
      <c r="P168" s="1"/>
    </row>
    <row r="169">
      <c r="F169" s="1"/>
      <c r="K169" s="1"/>
      <c r="P169" s="1"/>
    </row>
    <row r="170">
      <c r="F170" s="1"/>
      <c r="K170" s="1"/>
      <c r="P170" s="1"/>
    </row>
    <row r="171">
      <c r="F171" s="1"/>
      <c r="K171" s="1"/>
      <c r="P171" s="1"/>
    </row>
    <row r="172">
      <c r="F172" s="1"/>
      <c r="K172" s="1"/>
      <c r="P172" s="1"/>
    </row>
    <row r="173">
      <c r="F173" s="1"/>
      <c r="K173" s="1"/>
      <c r="P173" s="1"/>
    </row>
    <row r="174">
      <c r="F174" s="1"/>
      <c r="K174" s="1"/>
      <c r="P174" s="1"/>
    </row>
    <row r="175">
      <c r="F175" s="1"/>
      <c r="K175" s="1"/>
      <c r="P175" s="1"/>
    </row>
    <row r="176">
      <c r="F176" s="1"/>
      <c r="K176" s="1"/>
      <c r="P176" s="1"/>
    </row>
    <row r="177">
      <c r="F177" s="1"/>
      <c r="K177" s="1"/>
      <c r="P177" s="1"/>
    </row>
    <row r="178">
      <c r="F178" s="1"/>
      <c r="K178" s="1"/>
      <c r="P178" s="1"/>
    </row>
    <row r="179">
      <c r="F179" s="1"/>
      <c r="K179" s="1"/>
      <c r="P179" s="1"/>
    </row>
    <row r="180">
      <c r="F180" s="1"/>
      <c r="K180" s="1"/>
      <c r="P180" s="1"/>
    </row>
    <row r="181">
      <c r="F181" s="1"/>
      <c r="K181" s="1"/>
      <c r="P181" s="1"/>
    </row>
    <row r="182">
      <c r="F182" s="1"/>
      <c r="K182" s="1"/>
      <c r="P182" s="1"/>
    </row>
    <row r="183">
      <c r="F183" s="1"/>
      <c r="K183" s="1"/>
      <c r="P183" s="1"/>
    </row>
    <row r="184">
      <c r="F184" s="1"/>
      <c r="K184" s="1"/>
      <c r="P184" s="1"/>
    </row>
    <row r="185">
      <c r="F185" s="1"/>
      <c r="K185" s="1"/>
      <c r="P185" s="1"/>
    </row>
    <row r="186">
      <c r="F186" s="1"/>
      <c r="K186" s="1"/>
      <c r="P186" s="1"/>
    </row>
    <row r="187">
      <c r="F187" s="1"/>
      <c r="K187" s="1"/>
      <c r="P187" s="1"/>
    </row>
    <row r="188">
      <c r="F188" s="1"/>
      <c r="K188" s="1"/>
      <c r="P188" s="1"/>
    </row>
    <row r="189">
      <c r="F189" s="1"/>
      <c r="K189" s="1"/>
      <c r="P189" s="1"/>
    </row>
    <row r="190">
      <c r="F190" s="1"/>
      <c r="K190" s="1"/>
      <c r="P190" s="1"/>
    </row>
    <row r="191">
      <c r="F191" s="1"/>
      <c r="K191" s="1"/>
      <c r="P191" s="1"/>
    </row>
    <row r="192">
      <c r="F192" s="1"/>
      <c r="K192" s="1"/>
      <c r="P192" s="1"/>
    </row>
    <row r="193">
      <c r="F193" s="1"/>
      <c r="K193" s="1"/>
      <c r="P193" s="1"/>
    </row>
    <row r="194">
      <c r="F194" s="1"/>
      <c r="K194" s="1"/>
      <c r="P194" s="1"/>
    </row>
    <row r="195">
      <c r="F195" s="1"/>
      <c r="K195" s="1"/>
      <c r="P195" s="1"/>
    </row>
    <row r="196">
      <c r="F196" s="1"/>
      <c r="K196" s="1"/>
      <c r="P196" s="1"/>
    </row>
    <row r="197">
      <c r="F197" s="1"/>
      <c r="K197" s="1"/>
      <c r="P197" s="1"/>
    </row>
    <row r="198">
      <c r="F198" s="1"/>
      <c r="K198" s="1"/>
      <c r="P198" s="1"/>
    </row>
    <row r="199">
      <c r="F199" s="1"/>
      <c r="K199" s="1"/>
      <c r="P199" s="1"/>
    </row>
    <row r="200">
      <c r="F200" s="1"/>
      <c r="K200" s="1"/>
      <c r="P200" s="1"/>
    </row>
    <row r="201">
      <c r="F201" s="1"/>
      <c r="K201" s="1"/>
      <c r="P201" s="1"/>
    </row>
    <row r="202">
      <c r="F202" s="1"/>
      <c r="K202" s="1"/>
      <c r="P202" s="1"/>
    </row>
    <row r="203">
      <c r="F203" s="1"/>
      <c r="K203" s="1"/>
      <c r="P203" s="1"/>
    </row>
    <row r="204">
      <c r="F204" s="1"/>
      <c r="K204" s="1"/>
      <c r="P204" s="1"/>
    </row>
    <row r="205">
      <c r="F205" s="1"/>
      <c r="K205" s="1"/>
      <c r="P205" s="1"/>
    </row>
    <row r="206">
      <c r="F206" s="1"/>
      <c r="K206" s="1"/>
      <c r="P206" s="1"/>
    </row>
    <row r="207">
      <c r="F207" s="1"/>
      <c r="K207" s="1"/>
      <c r="P207" s="1"/>
    </row>
    <row r="208">
      <c r="F208" s="1"/>
      <c r="K208" s="1"/>
      <c r="P208" s="1"/>
    </row>
    <row r="209">
      <c r="F209" s="1"/>
      <c r="K209" s="1"/>
      <c r="P209" s="1"/>
    </row>
    <row r="210">
      <c r="F210" s="1"/>
      <c r="K210" s="1"/>
      <c r="P210" s="1"/>
    </row>
    <row r="211">
      <c r="F211" s="1"/>
      <c r="K211" s="1"/>
      <c r="P211" s="1"/>
    </row>
    <row r="212">
      <c r="F212" s="1"/>
      <c r="K212" s="1"/>
      <c r="P212" s="1"/>
    </row>
    <row r="213">
      <c r="F213" s="1"/>
      <c r="K213" s="1"/>
      <c r="P213" s="1"/>
    </row>
    <row r="214">
      <c r="F214" s="1"/>
      <c r="K214" s="1"/>
      <c r="P214" s="1"/>
    </row>
    <row r="215">
      <c r="F215" s="1"/>
      <c r="K215" s="1"/>
      <c r="P215" s="1"/>
    </row>
    <row r="216">
      <c r="F216" s="1"/>
      <c r="K216" s="1"/>
      <c r="P216" s="1"/>
    </row>
    <row r="217">
      <c r="F217" s="1"/>
      <c r="K217" s="1"/>
      <c r="P217" s="1"/>
    </row>
    <row r="218">
      <c r="F218" s="1"/>
      <c r="K218" s="1"/>
      <c r="P218" s="1"/>
    </row>
    <row r="219">
      <c r="F219" s="1"/>
      <c r="K219" s="1"/>
      <c r="P219" s="1"/>
    </row>
    <row r="220">
      <c r="F220" s="1"/>
      <c r="K220" s="1"/>
      <c r="P220" s="1"/>
    </row>
    <row r="221">
      <c r="F221" s="1"/>
      <c r="K221" s="1"/>
      <c r="P221" s="1"/>
    </row>
    <row r="222">
      <c r="F222" s="1"/>
      <c r="K222" s="1"/>
      <c r="P222" s="1"/>
    </row>
    <row r="223">
      <c r="F223" s="1"/>
      <c r="K223" s="1"/>
      <c r="P223" s="1"/>
    </row>
    <row r="224">
      <c r="F224" s="1"/>
      <c r="K224" s="1"/>
      <c r="P224" s="1"/>
    </row>
    <row r="225">
      <c r="F225" s="1"/>
      <c r="K225" s="1"/>
      <c r="P225" s="1"/>
    </row>
    <row r="226">
      <c r="F226" s="1"/>
      <c r="K226" s="1"/>
      <c r="P226" s="1"/>
    </row>
    <row r="227">
      <c r="F227" s="1"/>
      <c r="K227" s="1"/>
      <c r="P227" s="1"/>
    </row>
    <row r="228">
      <c r="F228" s="1"/>
      <c r="K228" s="1"/>
      <c r="P228" s="1"/>
    </row>
    <row r="229">
      <c r="F229" s="1"/>
      <c r="K229" s="1"/>
      <c r="P229" s="1"/>
    </row>
    <row r="230">
      <c r="F230" s="1"/>
      <c r="K230" s="1"/>
      <c r="P230" s="1"/>
    </row>
    <row r="231">
      <c r="F231" s="1"/>
      <c r="K231" s="1"/>
      <c r="P231" s="1"/>
    </row>
    <row r="232">
      <c r="F232" s="1"/>
      <c r="K232" s="1"/>
      <c r="P232" s="1"/>
    </row>
    <row r="233">
      <c r="F233" s="1"/>
      <c r="K233" s="1"/>
      <c r="P233" s="1"/>
    </row>
    <row r="234">
      <c r="F234" s="1"/>
      <c r="K234" s="1"/>
      <c r="P234" s="1"/>
    </row>
    <row r="235">
      <c r="F235" s="1"/>
      <c r="K235" s="1"/>
      <c r="P235" s="1"/>
    </row>
    <row r="236">
      <c r="F236" s="1"/>
      <c r="K236" s="1"/>
      <c r="P236" s="1"/>
    </row>
    <row r="237">
      <c r="F237" s="1"/>
      <c r="K237" s="1"/>
      <c r="P237" s="1"/>
    </row>
    <row r="238">
      <c r="F238" s="1"/>
      <c r="K238" s="1"/>
      <c r="P238" s="1"/>
    </row>
    <row r="239">
      <c r="F239" s="1"/>
      <c r="K239" s="1"/>
      <c r="P239" s="1"/>
    </row>
    <row r="240">
      <c r="F240" s="1"/>
      <c r="K240" s="1"/>
      <c r="P240" s="1"/>
    </row>
    <row r="241">
      <c r="F241" s="1"/>
      <c r="K241" s="1"/>
      <c r="P241" s="1"/>
    </row>
    <row r="242">
      <c r="F242" s="1"/>
      <c r="K242" s="1"/>
      <c r="P242" s="1"/>
    </row>
    <row r="243">
      <c r="F243" s="1"/>
      <c r="K243" s="1"/>
      <c r="P243" s="1"/>
    </row>
    <row r="244">
      <c r="F244" s="1"/>
      <c r="K244" s="1"/>
      <c r="P244" s="1"/>
    </row>
    <row r="245">
      <c r="F245" s="1"/>
      <c r="K245" s="1"/>
      <c r="P245" s="1"/>
    </row>
    <row r="246">
      <c r="F246" s="1"/>
      <c r="K246" s="1"/>
      <c r="P246" s="1"/>
    </row>
    <row r="247">
      <c r="F247" s="1"/>
      <c r="K247" s="1"/>
      <c r="P247" s="1"/>
    </row>
    <row r="248">
      <c r="F248" s="1"/>
      <c r="K248" s="1"/>
      <c r="P248" s="1"/>
    </row>
    <row r="249">
      <c r="F249" s="1"/>
      <c r="K249" s="1"/>
      <c r="P249" s="1"/>
    </row>
    <row r="250">
      <c r="F250" s="1"/>
      <c r="K250" s="1"/>
      <c r="P250" s="1"/>
    </row>
    <row r="251">
      <c r="F251" s="1"/>
      <c r="K251" s="1"/>
      <c r="P251" s="1"/>
    </row>
    <row r="252">
      <c r="F252" s="1"/>
      <c r="K252" s="1"/>
      <c r="P252" s="1"/>
    </row>
    <row r="253">
      <c r="F253" s="1"/>
      <c r="K253" s="1"/>
      <c r="P253" s="1"/>
    </row>
    <row r="254">
      <c r="F254" s="1"/>
      <c r="K254" s="1"/>
      <c r="P254" s="1"/>
    </row>
    <row r="255">
      <c r="F255" s="1"/>
      <c r="K255" s="1"/>
      <c r="P255" s="1"/>
    </row>
    <row r="256">
      <c r="F256" s="1"/>
      <c r="K256" s="1"/>
      <c r="P256" s="1"/>
    </row>
    <row r="257">
      <c r="F257" s="1"/>
      <c r="K257" s="1"/>
      <c r="P257" s="1"/>
    </row>
    <row r="258">
      <c r="F258" s="1"/>
      <c r="K258" s="1"/>
      <c r="P258" s="1"/>
    </row>
    <row r="259">
      <c r="F259" s="1"/>
      <c r="K259" s="1"/>
      <c r="P259" s="1"/>
    </row>
    <row r="260">
      <c r="F260" s="1"/>
      <c r="K260" s="1"/>
      <c r="P260" s="1"/>
    </row>
    <row r="261">
      <c r="F261" s="1"/>
      <c r="K261" s="1"/>
      <c r="P261" s="1"/>
    </row>
    <row r="262">
      <c r="F262" s="1"/>
      <c r="K262" s="1"/>
      <c r="P262" s="1"/>
    </row>
    <row r="263">
      <c r="F263" s="1"/>
      <c r="K263" s="1"/>
      <c r="P263" s="1"/>
    </row>
    <row r="264">
      <c r="F264" s="1"/>
      <c r="K264" s="1"/>
      <c r="P264" s="1"/>
    </row>
    <row r="265">
      <c r="F265" s="1"/>
      <c r="K265" s="1"/>
      <c r="P265" s="1"/>
    </row>
    <row r="266">
      <c r="F266" s="1"/>
      <c r="K266" s="1"/>
      <c r="P266" s="1"/>
    </row>
    <row r="267">
      <c r="F267" s="1"/>
      <c r="K267" s="1"/>
      <c r="P267" s="1"/>
    </row>
    <row r="268">
      <c r="F268" s="1"/>
      <c r="K268" s="1"/>
      <c r="P268" s="1"/>
    </row>
    <row r="269">
      <c r="F269" s="1"/>
      <c r="K269" s="1"/>
      <c r="P269" s="1"/>
    </row>
    <row r="270">
      <c r="F270" s="1"/>
      <c r="K270" s="1"/>
      <c r="P270" s="1"/>
    </row>
    <row r="271">
      <c r="F271" s="1"/>
      <c r="K271" s="1"/>
      <c r="P271" s="1"/>
    </row>
    <row r="272">
      <c r="F272" s="1"/>
      <c r="K272" s="1"/>
      <c r="P272" s="1"/>
    </row>
    <row r="273">
      <c r="F273" s="1"/>
      <c r="K273" s="1"/>
      <c r="P273" s="1"/>
    </row>
    <row r="274">
      <c r="F274" s="1"/>
      <c r="K274" s="1"/>
      <c r="P274" s="1"/>
    </row>
    <row r="275">
      <c r="F275" s="1"/>
      <c r="K275" s="1"/>
      <c r="P275" s="1"/>
    </row>
    <row r="276">
      <c r="F276" s="1"/>
      <c r="K276" s="1"/>
      <c r="P276" s="1"/>
    </row>
    <row r="277">
      <c r="F277" s="1"/>
      <c r="K277" s="1"/>
      <c r="P277" s="1"/>
    </row>
    <row r="278">
      <c r="F278" s="1"/>
      <c r="K278" s="1"/>
      <c r="P278" s="1"/>
    </row>
    <row r="279">
      <c r="F279" s="1"/>
      <c r="K279" s="1"/>
      <c r="P279" s="1"/>
    </row>
    <row r="280">
      <c r="F280" s="1"/>
      <c r="K280" s="1"/>
      <c r="P280" s="1"/>
    </row>
    <row r="281">
      <c r="F281" s="1"/>
      <c r="K281" s="1"/>
      <c r="P281" s="1"/>
    </row>
    <row r="282">
      <c r="F282" s="1"/>
      <c r="K282" s="1"/>
      <c r="P282" s="1"/>
    </row>
    <row r="283">
      <c r="F283" s="1"/>
      <c r="K283" s="1"/>
      <c r="P283" s="1"/>
    </row>
    <row r="284">
      <c r="F284" s="1"/>
      <c r="K284" s="1"/>
      <c r="P284" s="1"/>
    </row>
    <row r="285">
      <c r="F285" s="1"/>
      <c r="K285" s="1"/>
      <c r="P285" s="1"/>
    </row>
    <row r="286">
      <c r="F286" s="1"/>
      <c r="K286" s="1"/>
      <c r="P286" s="1"/>
    </row>
    <row r="287">
      <c r="F287" s="1"/>
      <c r="K287" s="1"/>
      <c r="P287" s="1"/>
    </row>
    <row r="288">
      <c r="F288" s="1"/>
      <c r="K288" s="1"/>
      <c r="P288" s="1"/>
    </row>
    <row r="289">
      <c r="F289" s="1"/>
      <c r="K289" s="1"/>
      <c r="P289" s="1"/>
    </row>
    <row r="290">
      <c r="F290" s="1"/>
      <c r="K290" s="1"/>
      <c r="P290" s="1"/>
    </row>
    <row r="291">
      <c r="F291" s="1"/>
      <c r="K291" s="1"/>
      <c r="P291" s="1"/>
    </row>
    <row r="292">
      <c r="F292" s="1"/>
      <c r="K292" s="1"/>
      <c r="P292" s="1"/>
    </row>
    <row r="293">
      <c r="F293" s="1"/>
      <c r="K293" s="1"/>
      <c r="P293" s="1"/>
    </row>
    <row r="294">
      <c r="F294" s="1"/>
      <c r="K294" s="1"/>
      <c r="P294" s="1"/>
    </row>
    <row r="295">
      <c r="F295" s="1"/>
      <c r="K295" s="1"/>
      <c r="P295" s="1"/>
    </row>
    <row r="296">
      <c r="F296" s="1"/>
      <c r="K296" s="1"/>
      <c r="P296" s="1"/>
    </row>
    <row r="297">
      <c r="F297" s="1"/>
      <c r="K297" s="1"/>
      <c r="P297" s="1"/>
    </row>
    <row r="298">
      <c r="F298" s="1"/>
      <c r="K298" s="1"/>
      <c r="P298" s="1"/>
    </row>
    <row r="299">
      <c r="F299" s="1"/>
      <c r="K299" s="1"/>
      <c r="P299" s="1"/>
    </row>
    <row r="300">
      <c r="F300" s="1"/>
      <c r="K300" s="1"/>
      <c r="P300" s="1"/>
    </row>
    <row r="301">
      <c r="F301" s="1"/>
      <c r="K301" s="1"/>
      <c r="P301" s="1"/>
    </row>
    <row r="302">
      <c r="F302" s="1"/>
      <c r="K302" s="1"/>
      <c r="P302" s="1"/>
    </row>
    <row r="303">
      <c r="F303" s="1"/>
      <c r="K303" s="1"/>
      <c r="P303" s="1"/>
    </row>
    <row r="304">
      <c r="F304" s="1"/>
      <c r="K304" s="1"/>
      <c r="P304" s="1"/>
    </row>
    <row r="305">
      <c r="F305" s="1"/>
      <c r="K305" s="1"/>
      <c r="P305" s="1"/>
    </row>
    <row r="306">
      <c r="F306" s="1"/>
      <c r="K306" s="1"/>
      <c r="P306" s="1"/>
    </row>
    <row r="307">
      <c r="F307" s="1"/>
      <c r="K307" s="1"/>
      <c r="P307" s="1"/>
    </row>
    <row r="308">
      <c r="F308" s="1"/>
      <c r="K308" s="1"/>
      <c r="P308" s="1"/>
    </row>
    <row r="309">
      <c r="F309" s="1"/>
      <c r="K309" s="1"/>
      <c r="P309" s="1"/>
    </row>
    <row r="310">
      <c r="F310" s="1"/>
      <c r="K310" s="1"/>
      <c r="P310" s="1"/>
    </row>
    <row r="311">
      <c r="F311" s="1"/>
      <c r="K311" s="1"/>
      <c r="P311" s="1"/>
    </row>
    <row r="312">
      <c r="F312" s="1"/>
      <c r="K312" s="1"/>
      <c r="P312" s="1"/>
    </row>
    <row r="313">
      <c r="F313" s="1"/>
      <c r="K313" s="1"/>
      <c r="P313" s="1"/>
    </row>
    <row r="314">
      <c r="F314" s="1"/>
      <c r="K314" s="1"/>
      <c r="P314" s="1"/>
    </row>
    <row r="315">
      <c r="F315" s="1"/>
      <c r="K315" s="1"/>
      <c r="P315" s="1"/>
    </row>
    <row r="316">
      <c r="F316" s="1"/>
      <c r="K316" s="1"/>
      <c r="P316" s="1"/>
    </row>
    <row r="317">
      <c r="F317" s="1"/>
      <c r="K317" s="1"/>
      <c r="P317" s="1"/>
    </row>
    <row r="318">
      <c r="F318" s="1"/>
      <c r="K318" s="1"/>
      <c r="P318" s="1"/>
    </row>
    <row r="319">
      <c r="F319" s="1"/>
      <c r="K319" s="1"/>
      <c r="P319" s="1"/>
    </row>
    <row r="320">
      <c r="F320" s="1"/>
      <c r="K320" s="1"/>
      <c r="P320" s="1"/>
    </row>
    <row r="321">
      <c r="F321" s="1"/>
      <c r="K321" s="1"/>
      <c r="P321" s="1"/>
    </row>
    <row r="322">
      <c r="F322" s="1"/>
      <c r="K322" s="1"/>
      <c r="P322" s="1"/>
    </row>
    <row r="323">
      <c r="F323" s="1"/>
      <c r="K323" s="1"/>
      <c r="P323" s="1"/>
    </row>
    <row r="324">
      <c r="F324" s="1"/>
      <c r="K324" s="1"/>
      <c r="P324" s="1"/>
    </row>
    <row r="325">
      <c r="F325" s="1"/>
      <c r="K325" s="1"/>
      <c r="P325" s="1"/>
    </row>
    <row r="326">
      <c r="F326" s="1"/>
      <c r="K326" s="1"/>
      <c r="P326" s="1"/>
    </row>
    <row r="327">
      <c r="F327" s="1"/>
      <c r="K327" s="1"/>
      <c r="P327" s="1"/>
    </row>
    <row r="328">
      <c r="F328" s="1"/>
      <c r="K328" s="1"/>
      <c r="P328" s="1"/>
    </row>
    <row r="329">
      <c r="F329" s="1"/>
      <c r="K329" s="1"/>
      <c r="P329" s="1"/>
    </row>
    <row r="330">
      <c r="F330" s="1"/>
      <c r="K330" s="1"/>
      <c r="P330" s="1"/>
    </row>
    <row r="331">
      <c r="F331" s="1"/>
      <c r="K331" s="1"/>
      <c r="P331" s="1"/>
    </row>
    <row r="332">
      <c r="F332" s="1"/>
      <c r="K332" s="1"/>
      <c r="P332" s="1"/>
    </row>
    <row r="333">
      <c r="F333" s="1"/>
      <c r="K333" s="1"/>
      <c r="P333" s="1"/>
    </row>
    <row r="334">
      <c r="F334" s="1"/>
      <c r="K334" s="1"/>
      <c r="P334" s="1"/>
    </row>
    <row r="335">
      <c r="F335" s="1"/>
      <c r="K335" s="1"/>
      <c r="P335" s="1"/>
    </row>
    <row r="336">
      <c r="F336" s="1"/>
      <c r="K336" s="1"/>
      <c r="P336" s="1"/>
    </row>
    <row r="337">
      <c r="F337" s="1"/>
      <c r="K337" s="1"/>
      <c r="P337" s="1"/>
    </row>
    <row r="338">
      <c r="F338" s="1"/>
      <c r="K338" s="1"/>
      <c r="P338" s="1"/>
    </row>
    <row r="339">
      <c r="F339" s="1"/>
      <c r="K339" s="1"/>
      <c r="P339" s="1"/>
    </row>
    <row r="340">
      <c r="F340" s="1"/>
      <c r="K340" s="1"/>
      <c r="P340" s="1"/>
    </row>
    <row r="341">
      <c r="F341" s="1"/>
      <c r="K341" s="1"/>
      <c r="P341" s="1"/>
    </row>
    <row r="342">
      <c r="F342" s="1"/>
      <c r="K342" s="1"/>
      <c r="P342" s="1"/>
    </row>
    <row r="343">
      <c r="F343" s="1"/>
      <c r="K343" s="1"/>
      <c r="P343" s="1"/>
    </row>
    <row r="344">
      <c r="F344" s="1"/>
      <c r="K344" s="1"/>
      <c r="P344" s="1"/>
    </row>
    <row r="345">
      <c r="F345" s="1"/>
      <c r="K345" s="1"/>
      <c r="P345" s="1"/>
    </row>
    <row r="346">
      <c r="F346" s="1"/>
      <c r="K346" s="1"/>
      <c r="P346" s="1"/>
    </row>
    <row r="347">
      <c r="F347" s="1"/>
      <c r="K347" s="1"/>
      <c r="P347" s="1"/>
    </row>
    <row r="348">
      <c r="F348" s="1"/>
      <c r="K348" s="1"/>
      <c r="P348" s="1"/>
    </row>
    <row r="349">
      <c r="F349" s="1"/>
      <c r="K349" s="1"/>
      <c r="P349" s="1"/>
    </row>
    <row r="350">
      <c r="F350" s="1"/>
      <c r="K350" s="1"/>
      <c r="P350" s="1"/>
    </row>
    <row r="351">
      <c r="F351" s="1"/>
      <c r="K351" s="1"/>
      <c r="P351" s="1"/>
    </row>
    <row r="352">
      <c r="F352" s="1"/>
      <c r="K352" s="1"/>
      <c r="P352" s="1"/>
    </row>
    <row r="353">
      <c r="F353" s="1"/>
      <c r="K353" s="1"/>
      <c r="P353" s="1"/>
    </row>
    <row r="354">
      <c r="F354" s="1"/>
      <c r="K354" s="1"/>
      <c r="P354" s="1"/>
    </row>
    <row r="355">
      <c r="F355" s="1"/>
      <c r="K355" s="1"/>
      <c r="P355" s="1"/>
    </row>
    <row r="356">
      <c r="F356" s="1"/>
      <c r="K356" s="1"/>
      <c r="P356" s="1"/>
    </row>
    <row r="357">
      <c r="F357" s="1"/>
      <c r="K357" s="1"/>
      <c r="P357" s="1"/>
    </row>
    <row r="358">
      <c r="F358" s="1"/>
      <c r="K358" s="1"/>
      <c r="P358" s="1"/>
    </row>
    <row r="359">
      <c r="F359" s="1"/>
      <c r="K359" s="1"/>
      <c r="P359" s="1"/>
    </row>
    <row r="360">
      <c r="F360" s="1"/>
      <c r="K360" s="1"/>
      <c r="P360" s="1"/>
    </row>
    <row r="361">
      <c r="F361" s="1"/>
      <c r="K361" s="1"/>
      <c r="P361" s="1"/>
    </row>
    <row r="362">
      <c r="F362" s="1"/>
      <c r="K362" s="1"/>
      <c r="P362" s="1"/>
    </row>
    <row r="363">
      <c r="F363" s="1"/>
      <c r="K363" s="1"/>
      <c r="P363" s="1"/>
    </row>
    <row r="364">
      <c r="F364" s="1"/>
      <c r="K364" s="1"/>
      <c r="P364" s="1"/>
    </row>
    <row r="365">
      <c r="F365" s="1"/>
      <c r="K365" s="1"/>
      <c r="P365" s="1"/>
    </row>
    <row r="366">
      <c r="F366" s="1"/>
      <c r="K366" s="1"/>
      <c r="P366" s="1"/>
    </row>
    <row r="367">
      <c r="F367" s="1"/>
      <c r="K367" s="1"/>
      <c r="P367" s="1"/>
    </row>
    <row r="368">
      <c r="F368" s="1"/>
      <c r="K368" s="1"/>
      <c r="P368" s="1"/>
    </row>
    <row r="369">
      <c r="F369" s="1"/>
      <c r="K369" s="1"/>
      <c r="P369" s="1"/>
    </row>
    <row r="370">
      <c r="F370" s="1"/>
      <c r="K370" s="1"/>
      <c r="P370" s="1"/>
    </row>
    <row r="371">
      <c r="F371" s="1"/>
      <c r="K371" s="1"/>
      <c r="P371" s="1"/>
    </row>
    <row r="372">
      <c r="F372" s="1"/>
      <c r="K372" s="1"/>
      <c r="P372" s="1"/>
    </row>
    <row r="373">
      <c r="F373" s="1"/>
      <c r="K373" s="1"/>
      <c r="P373" s="1"/>
    </row>
    <row r="374">
      <c r="F374" s="1"/>
      <c r="K374" s="1"/>
      <c r="P374" s="1"/>
    </row>
    <row r="375">
      <c r="F375" s="1"/>
      <c r="K375" s="1"/>
      <c r="P375" s="1"/>
    </row>
    <row r="376">
      <c r="F376" s="1"/>
      <c r="K376" s="1"/>
      <c r="P376" s="1"/>
    </row>
    <row r="377">
      <c r="F377" s="1"/>
      <c r="K377" s="1"/>
      <c r="P377" s="1"/>
    </row>
    <row r="378">
      <c r="F378" s="1"/>
      <c r="K378" s="1"/>
      <c r="P378" s="1"/>
    </row>
    <row r="379">
      <c r="F379" s="1"/>
      <c r="K379" s="1"/>
      <c r="P379" s="1"/>
    </row>
    <row r="380">
      <c r="F380" s="1"/>
      <c r="K380" s="1"/>
      <c r="P380" s="1"/>
    </row>
    <row r="381">
      <c r="F381" s="1"/>
      <c r="K381" s="1"/>
      <c r="P381" s="1"/>
    </row>
    <row r="382">
      <c r="F382" s="1"/>
      <c r="K382" s="1"/>
      <c r="P382" s="1"/>
    </row>
    <row r="383">
      <c r="F383" s="1"/>
      <c r="K383" s="1"/>
      <c r="P383" s="1"/>
    </row>
    <row r="384">
      <c r="F384" s="1"/>
      <c r="K384" s="1"/>
      <c r="P384" s="1"/>
    </row>
    <row r="385">
      <c r="F385" s="1"/>
      <c r="K385" s="1"/>
      <c r="P385" s="1"/>
    </row>
    <row r="386">
      <c r="F386" s="1"/>
      <c r="K386" s="1"/>
      <c r="P386" s="1"/>
    </row>
    <row r="387">
      <c r="F387" s="1"/>
      <c r="K387" s="1"/>
      <c r="P387" s="1"/>
    </row>
    <row r="388">
      <c r="F388" s="1"/>
      <c r="K388" s="1"/>
      <c r="P388" s="1"/>
    </row>
    <row r="389">
      <c r="F389" s="1"/>
      <c r="K389" s="1"/>
      <c r="P389" s="1"/>
    </row>
    <row r="390">
      <c r="F390" s="1"/>
      <c r="K390" s="1"/>
      <c r="P390" s="1"/>
    </row>
    <row r="391">
      <c r="F391" s="1"/>
      <c r="K391" s="1"/>
      <c r="P391" s="1"/>
    </row>
    <row r="392">
      <c r="F392" s="1"/>
      <c r="K392" s="1"/>
      <c r="P392" s="1"/>
    </row>
    <row r="393">
      <c r="F393" s="1"/>
      <c r="K393" s="1"/>
      <c r="P393" s="1"/>
    </row>
    <row r="394">
      <c r="F394" s="1"/>
      <c r="K394" s="1"/>
      <c r="P394" s="1"/>
    </row>
    <row r="395">
      <c r="F395" s="1"/>
      <c r="K395" s="1"/>
      <c r="P395" s="1"/>
    </row>
    <row r="396">
      <c r="F396" s="1"/>
      <c r="K396" s="1"/>
      <c r="P396" s="1"/>
    </row>
    <row r="397">
      <c r="F397" s="1"/>
      <c r="K397" s="1"/>
      <c r="P397" s="1"/>
    </row>
    <row r="398">
      <c r="F398" s="1"/>
      <c r="K398" s="1"/>
      <c r="P398" s="1"/>
    </row>
    <row r="399">
      <c r="F399" s="1"/>
      <c r="K399" s="1"/>
      <c r="P399" s="1"/>
    </row>
    <row r="400">
      <c r="F400" s="1"/>
      <c r="K400" s="1"/>
      <c r="P400" s="1"/>
    </row>
    <row r="401">
      <c r="F401" s="1"/>
      <c r="K401" s="1"/>
      <c r="P401" s="1"/>
    </row>
    <row r="402">
      <c r="F402" s="1"/>
      <c r="K402" s="1"/>
      <c r="P402" s="1"/>
    </row>
    <row r="403">
      <c r="F403" s="1"/>
      <c r="K403" s="1"/>
      <c r="P403" s="1"/>
    </row>
    <row r="404">
      <c r="F404" s="1"/>
      <c r="K404" s="1"/>
      <c r="P404" s="1"/>
    </row>
    <row r="405">
      <c r="F405" s="1"/>
      <c r="K405" s="1"/>
      <c r="P405" s="1"/>
    </row>
    <row r="406">
      <c r="F406" s="1"/>
      <c r="K406" s="1"/>
      <c r="P406" s="1"/>
    </row>
    <row r="407">
      <c r="F407" s="1"/>
      <c r="K407" s="1"/>
      <c r="P407" s="1"/>
    </row>
    <row r="408">
      <c r="F408" s="1"/>
      <c r="K408" s="1"/>
      <c r="P408" s="1"/>
    </row>
    <row r="409">
      <c r="F409" s="1"/>
      <c r="K409" s="1"/>
      <c r="P409" s="1"/>
    </row>
    <row r="410">
      <c r="F410" s="1"/>
      <c r="K410" s="1"/>
      <c r="P410" s="1"/>
    </row>
    <row r="411">
      <c r="F411" s="1"/>
      <c r="K411" s="1"/>
      <c r="P411" s="1"/>
    </row>
    <row r="412">
      <c r="F412" s="1"/>
      <c r="K412" s="1"/>
      <c r="P412" s="1"/>
    </row>
    <row r="413">
      <c r="F413" s="1"/>
      <c r="K413" s="1"/>
      <c r="P413" s="1"/>
    </row>
    <row r="414">
      <c r="F414" s="1"/>
      <c r="K414" s="1"/>
      <c r="P414" s="1"/>
    </row>
    <row r="415">
      <c r="F415" s="1"/>
      <c r="K415" s="1"/>
      <c r="P415" s="1"/>
    </row>
    <row r="416">
      <c r="F416" s="1"/>
      <c r="K416" s="1"/>
      <c r="P416" s="1"/>
    </row>
    <row r="417">
      <c r="F417" s="1"/>
      <c r="K417" s="1"/>
      <c r="P417" s="1"/>
    </row>
    <row r="418">
      <c r="F418" s="1"/>
      <c r="K418" s="1"/>
      <c r="P418" s="1"/>
    </row>
    <row r="419">
      <c r="F419" s="1"/>
      <c r="K419" s="1"/>
      <c r="P419" s="1"/>
    </row>
    <row r="420">
      <c r="F420" s="1"/>
      <c r="K420" s="1"/>
      <c r="P420" s="1"/>
    </row>
    <row r="421">
      <c r="F421" s="1"/>
      <c r="K421" s="1"/>
      <c r="P421" s="1"/>
    </row>
    <row r="422">
      <c r="F422" s="1"/>
      <c r="K422" s="1"/>
      <c r="P422" s="1"/>
    </row>
    <row r="423">
      <c r="F423" s="1"/>
      <c r="K423" s="1"/>
      <c r="P423" s="1"/>
    </row>
    <row r="424">
      <c r="F424" s="1"/>
      <c r="K424" s="1"/>
      <c r="P424" s="1"/>
    </row>
    <row r="425">
      <c r="F425" s="1"/>
      <c r="K425" s="1"/>
      <c r="P425" s="1"/>
    </row>
    <row r="426">
      <c r="F426" s="1"/>
      <c r="K426" s="1"/>
      <c r="P426" s="1"/>
    </row>
    <row r="427">
      <c r="F427" s="1"/>
      <c r="K427" s="1"/>
      <c r="P427" s="1"/>
    </row>
    <row r="428">
      <c r="F428" s="1"/>
      <c r="K428" s="1"/>
      <c r="P428" s="1"/>
    </row>
    <row r="429">
      <c r="F429" s="1"/>
      <c r="K429" s="1"/>
      <c r="P429" s="1"/>
    </row>
    <row r="430">
      <c r="F430" s="1"/>
      <c r="K430" s="1"/>
      <c r="P430" s="1"/>
    </row>
    <row r="431">
      <c r="F431" s="1"/>
      <c r="K431" s="1"/>
      <c r="P431" s="1"/>
    </row>
    <row r="432">
      <c r="F432" s="1"/>
      <c r="K432" s="1"/>
      <c r="P432" s="1"/>
    </row>
    <row r="433">
      <c r="F433" s="1"/>
      <c r="K433" s="1"/>
      <c r="P433" s="1"/>
    </row>
    <row r="434">
      <c r="F434" s="1"/>
      <c r="K434" s="1"/>
      <c r="P434" s="1"/>
    </row>
    <row r="435">
      <c r="F435" s="1"/>
      <c r="K435" s="1"/>
      <c r="P435" s="1"/>
    </row>
    <row r="436">
      <c r="F436" s="1"/>
      <c r="K436" s="1"/>
      <c r="P436" s="1"/>
    </row>
    <row r="437">
      <c r="F437" s="1"/>
      <c r="K437" s="1"/>
      <c r="P437" s="1"/>
    </row>
    <row r="438">
      <c r="F438" s="1"/>
      <c r="K438" s="1"/>
      <c r="P438" s="1"/>
    </row>
    <row r="439">
      <c r="F439" s="1"/>
      <c r="K439" s="1"/>
      <c r="P439" s="1"/>
    </row>
    <row r="440">
      <c r="F440" s="1"/>
      <c r="K440" s="1"/>
      <c r="P440" s="1"/>
    </row>
    <row r="441">
      <c r="F441" s="1"/>
      <c r="K441" s="1"/>
      <c r="P441" s="1"/>
    </row>
    <row r="442">
      <c r="F442" s="1"/>
      <c r="K442" s="1"/>
      <c r="P442" s="1"/>
    </row>
    <row r="443">
      <c r="F443" s="1"/>
      <c r="K443" s="1"/>
      <c r="P443" s="1"/>
    </row>
    <row r="444">
      <c r="F444" s="1"/>
      <c r="K444" s="1"/>
      <c r="P444" s="1"/>
    </row>
    <row r="445">
      <c r="F445" s="1"/>
      <c r="K445" s="1"/>
      <c r="P445" s="1"/>
    </row>
    <row r="446">
      <c r="F446" s="1"/>
      <c r="K446" s="1"/>
      <c r="P446" s="1"/>
    </row>
    <row r="447">
      <c r="F447" s="1"/>
      <c r="K447" s="1"/>
      <c r="P447" s="1"/>
    </row>
    <row r="448">
      <c r="F448" s="1"/>
      <c r="K448" s="1"/>
      <c r="P448" s="1"/>
    </row>
    <row r="449">
      <c r="F449" s="1"/>
      <c r="K449" s="1"/>
      <c r="P449" s="1"/>
    </row>
    <row r="450">
      <c r="F450" s="1"/>
      <c r="K450" s="1"/>
      <c r="P450" s="1"/>
    </row>
    <row r="451">
      <c r="F451" s="1"/>
      <c r="K451" s="1"/>
      <c r="P451" s="1"/>
    </row>
    <row r="452">
      <c r="F452" s="1"/>
      <c r="K452" s="1"/>
      <c r="P452" s="1"/>
    </row>
    <row r="453">
      <c r="F453" s="1"/>
      <c r="K453" s="1"/>
      <c r="P453" s="1"/>
    </row>
    <row r="454">
      <c r="F454" s="1"/>
      <c r="K454" s="1"/>
      <c r="P454" s="1"/>
    </row>
    <row r="455">
      <c r="F455" s="1"/>
      <c r="K455" s="1"/>
      <c r="P455" s="1"/>
    </row>
    <row r="456">
      <c r="F456" s="1"/>
      <c r="K456" s="1"/>
      <c r="P456" s="1"/>
    </row>
    <row r="457">
      <c r="F457" s="1"/>
      <c r="K457" s="1"/>
      <c r="P457" s="1"/>
    </row>
    <row r="458">
      <c r="F458" s="1"/>
      <c r="K458" s="1"/>
      <c r="P458" s="1"/>
    </row>
    <row r="459">
      <c r="F459" s="1"/>
      <c r="K459" s="1"/>
      <c r="P459" s="1"/>
    </row>
    <row r="460">
      <c r="F460" s="1"/>
      <c r="K460" s="1"/>
      <c r="P460" s="1"/>
    </row>
    <row r="461">
      <c r="F461" s="1"/>
      <c r="K461" s="1"/>
      <c r="P461" s="1"/>
    </row>
    <row r="462">
      <c r="F462" s="1"/>
      <c r="K462" s="1"/>
      <c r="P462" s="1"/>
    </row>
    <row r="463">
      <c r="F463" s="1"/>
      <c r="K463" s="1"/>
      <c r="P463" s="1"/>
    </row>
    <row r="464">
      <c r="F464" s="1"/>
      <c r="K464" s="1"/>
      <c r="P464" s="1"/>
    </row>
    <row r="465">
      <c r="F465" s="1"/>
      <c r="K465" s="1"/>
      <c r="P465" s="1"/>
    </row>
    <row r="466">
      <c r="F466" s="1"/>
      <c r="K466" s="1"/>
      <c r="P466" s="1"/>
    </row>
    <row r="467">
      <c r="F467" s="1"/>
      <c r="K467" s="1"/>
      <c r="P467" s="1"/>
    </row>
    <row r="468">
      <c r="F468" s="1"/>
      <c r="K468" s="1"/>
      <c r="P468" s="1"/>
    </row>
    <row r="469">
      <c r="F469" s="1"/>
      <c r="K469" s="1"/>
      <c r="P469" s="1"/>
    </row>
    <row r="470">
      <c r="F470" s="1"/>
      <c r="K470" s="1"/>
      <c r="P470" s="1"/>
    </row>
    <row r="471">
      <c r="F471" s="1"/>
      <c r="K471" s="1"/>
      <c r="P471" s="1"/>
    </row>
    <row r="472">
      <c r="F472" s="1"/>
      <c r="K472" s="1"/>
      <c r="P472" s="1"/>
    </row>
    <row r="473">
      <c r="F473" s="1"/>
      <c r="K473" s="1"/>
      <c r="P473" s="1"/>
    </row>
    <row r="474">
      <c r="F474" s="1"/>
      <c r="K474" s="1"/>
      <c r="P474" s="1"/>
    </row>
    <row r="475">
      <c r="F475" s="1"/>
      <c r="K475" s="1"/>
      <c r="P475" s="1"/>
    </row>
    <row r="476">
      <c r="F476" s="1"/>
      <c r="K476" s="1"/>
      <c r="P476" s="1"/>
    </row>
    <row r="477">
      <c r="F477" s="1"/>
      <c r="K477" s="1"/>
      <c r="P477" s="1"/>
    </row>
    <row r="478">
      <c r="F478" s="1"/>
      <c r="K478" s="1"/>
      <c r="P478" s="1"/>
    </row>
    <row r="479">
      <c r="F479" s="1"/>
      <c r="K479" s="1"/>
      <c r="P479" s="1"/>
    </row>
    <row r="480">
      <c r="F480" s="1"/>
      <c r="K480" s="1"/>
      <c r="P480" s="1"/>
    </row>
    <row r="481">
      <c r="F481" s="1"/>
      <c r="K481" s="1"/>
      <c r="P481" s="1"/>
    </row>
    <row r="482">
      <c r="F482" s="1"/>
      <c r="K482" s="1"/>
      <c r="P482" s="1"/>
    </row>
    <row r="483">
      <c r="F483" s="1"/>
      <c r="K483" s="1"/>
      <c r="P483" s="1"/>
    </row>
    <row r="484">
      <c r="F484" s="1"/>
      <c r="K484" s="1"/>
      <c r="P484" s="1"/>
    </row>
    <row r="485">
      <c r="F485" s="1"/>
      <c r="K485" s="1"/>
      <c r="P485" s="1"/>
    </row>
    <row r="486">
      <c r="F486" s="1"/>
      <c r="K486" s="1"/>
      <c r="P486" s="1"/>
    </row>
    <row r="487">
      <c r="F487" s="1"/>
      <c r="K487" s="1"/>
      <c r="P487" s="1"/>
    </row>
    <row r="488">
      <c r="F488" s="1"/>
      <c r="K488" s="1"/>
      <c r="P488" s="1"/>
    </row>
    <row r="489">
      <c r="F489" s="1"/>
      <c r="K489" s="1"/>
      <c r="P489" s="1"/>
    </row>
    <row r="490">
      <c r="F490" s="1"/>
      <c r="K490" s="1"/>
      <c r="P490" s="1"/>
    </row>
    <row r="491">
      <c r="F491" s="1"/>
      <c r="K491" s="1"/>
      <c r="P491" s="1"/>
    </row>
    <row r="492">
      <c r="F492" s="1"/>
      <c r="K492" s="1"/>
      <c r="P492" s="1"/>
    </row>
    <row r="493">
      <c r="F493" s="1"/>
      <c r="K493" s="1"/>
      <c r="P493" s="1"/>
    </row>
    <row r="494">
      <c r="F494" s="1"/>
      <c r="K494" s="1"/>
      <c r="P494" s="1"/>
    </row>
    <row r="495">
      <c r="F495" s="1"/>
      <c r="K495" s="1"/>
      <c r="P495" s="1"/>
    </row>
    <row r="496">
      <c r="F496" s="1"/>
      <c r="K496" s="1"/>
      <c r="P496" s="1"/>
    </row>
    <row r="497">
      <c r="F497" s="1"/>
      <c r="K497" s="1"/>
      <c r="P497" s="1"/>
    </row>
    <row r="498">
      <c r="F498" s="1"/>
      <c r="K498" s="1"/>
      <c r="P498" s="1"/>
    </row>
    <row r="499">
      <c r="F499" s="1"/>
      <c r="K499" s="1"/>
      <c r="P499" s="1"/>
    </row>
    <row r="500">
      <c r="F500" s="1"/>
      <c r="K500" s="1"/>
      <c r="P500" s="1"/>
    </row>
    <row r="501">
      <c r="F501" s="1"/>
      <c r="K501" s="1"/>
      <c r="P501" s="1"/>
    </row>
    <row r="502">
      <c r="F502" s="1"/>
      <c r="K502" s="1"/>
      <c r="P502" s="1"/>
    </row>
    <row r="503">
      <c r="F503" s="1"/>
      <c r="K503" s="1"/>
      <c r="P503" s="1"/>
    </row>
    <row r="504">
      <c r="F504" s="1"/>
      <c r="K504" s="1"/>
      <c r="P504" s="1"/>
    </row>
    <row r="505">
      <c r="F505" s="1"/>
      <c r="K505" s="1"/>
      <c r="P505" s="1"/>
    </row>
    <row r="506">
      <c r="F506" s="1"/>
      <c r="K506" s="1"/>
      <c r="P506" s="1"/>
    </row>
    <row r="507">
      <c r="F507" s="1"/>
      <c r="K507" s="1"/>
      <c r="P507" s="1"/>
    </row>
    <row r="508">
      <c r="F508" s="1"/>
      <c r="K508" s="1"/>
      <c r="P508" s="1"/>
    </row>
    <row r="509">
      <c r="F509" s="1"/>
      <c r="K509" s="1"/>
      <c r="P509" s="1"/>
    </row>
    <row r="510">
      <c r="F510" s="1"/>
      <c r="K510" s="1"/>
      <c r="P510" s="1"/>
    </row>
    <row r="511">
      <c r="F511" s="1"/>
      <c r="K511" s="1"/>
      <c r="P511" s="1"/>
    </row>
    <row r="512">
      <c r="F512" s="1"/>
      <c r="K512" s="1"/>
      <c r="P512" s="1"/>
    </row>
    <row r="513">
      <c r="F513" s="1"/>
      <c r="K513" s="1"/>
      <c r="P513" s="1"/>
    </row>
    <row r="514">
      <c r="F514" s="1"/>
      <c r="K514" s="1"/>
      <c r="P514" s="1"/>
    </row>
    <row r="515">
      <c r="F515" s="1"/>
      <c r="K515" s="1"/>
      <c r="P515" s="1"/>
    </row>
    <row r="516">
      <c r="F516" s="1"/>
      <c r="K516" s="1"/>
      <c r="P516" s="1"/>
    </row>
    <row r="517">
      <c r="F517" s="1"/>
      <c r="K517" s="1"/>
      <c r="P517" s="1"/>
    </row>
    <row r="518">
      <c r="F518" s="1"/>
      <c r="K518" s="1"/>
      <c r="P518" s="1"/>
    </row>
    <row r="519">
      <c r="F519" s="1"/>
      <c r="K519" s="1"/>
      <c r="P519" s="1"/>
    </row>
    <row r="520">
      <c r="F520" s="1"/>
      <c r="K520" s="1"/>
      <c r="P520" s="1"/>
    </row>
    <row r="521">
      <c r="F521" s="1"/>
      <c r="K521" s="1"/>
      <c r="P521" s="1"/>
    </row>
    <row r="522">
      <c r="F522" s="1"/>
      <c r="K522" s="1"/>
      <c r="P522" s="1"/>
    </row>
    <row r="523">
      <c r="F523" s="1"/>
      <c r="K523" s="1"/>
      <c r="P523" s="1"/>
    </row>
    <row r="524">
      <c r="F524" s="1"/>
      <c r="K524" s="1"/>
      <c r="P524" s="1"/>
    </row>
    <row r="525">
      <c r="F525" s="1"/>
      <c r="K525" s="1"/>
      <c r="P525" s="1"/>
    </row>
    <row r="526">
      <c r="F526" s="1"/>
      <c r="K526" s="1"/>
      <c r="P526" s="1"/>
    </row>
    <row r="527">
      <c r="F527" s="1"/>
      <c r="K527" s="1"/>
      <c r="P527" s="1"/>
    </row>
    <row r="528">
      <c r="F528" s="1"/>
      <c r="K528" s="1"/>
      <c r="P528" s="1"/>
    </row>
    <row r="529">
      <c r="F529" s="1"/>
      <c r="K529" s="1"/>
      <c r="P529" s="1"/>
    </row>
    <row r="530">
      <c r="F530" s="1"/>
      <c r="K530" s="1"/>
      <c r="P530" s="1"/>
    </row>
    <row r="531">
      <c r="F531" s="1"/>
      <c r="K531" s="1"/>
      <c r="P531" s="1"/>
    </row>
    <row r="532">
      <c r="F532" s="1"/>
      <c r="K532" s="1"/>
      <c r="P532" s="1"/>
    </row>
    <row r="533">
      <c r="F533" s="1"/>
      <c r="K533" s="1"/>
      <c r="P533" s="1"/>
    </row>
    <row r="534">
      <c r="F534" s="1"/>
      <c r="K534" s="1"/>
      <c r="P534" s="1"/>
    </row>
    <row r="535">
      <c r="F535" s="1"/>
      <c r="K535" s="1"/>
      <c r="P535" s="1"/>
    </row>
    <row r="536">
      <c r="F536" s="1"/>
      <c r="K536" s="1"/>
      <c r="P536" s="1"/>
    </row>
    <row r="537">
      <c r="F537" s="1"/>
      <c r="K537" s="1"/>
      <c r="P537" s="1"/>
    </row>
    <row r="538">
      <c r="F538" s="1"/>
      <c r="K538" s="1"/>
      <c r="P538" s="1"/>
    </row>
    <row r="539">
      <c r="F539" s="1"/>
      <c r="K539" s="1"/>
      <c r="P539" s="1"/>
    </row>
    <row r="540">
      <c r="F540" s="1"/>
      <c r="K540" s="1"/>
      <c r="P540" s="1"/>
    </row>
    <row r="541">
      <c r="F541" s="1"/>
      <c r="K541" s="1"/>
      <c r="P541" s="1"/>
    </row>
    <row r="542">
      <c r="F542" s="1"/>
      <c r="K542" s="1"/>
      <c r="P542" s="1"/>
    </row>
    <row r="543">
      <c r="F543" s="1"/>
      <c r="K543" s="1"/>
      <c r="P543" s="1"/>
    </row>
    <row r="544">
      <c r="F544" s="1"/>
      <c r="K544" s="1"/>
      <c r="P544" s="1"/>
    </row>
    <row r="545">
      <c r="F545" s="1"/>
      <c r="K545" s="1"/>
      <c r="P545" s="1"/>
    </row>
    <row r="546">
      <c r="F546" s="1"/>
      <c r="K546" s="1"/>
      <c r="P546" s="1"/>
    </row>
    <row r="547">
      <c r="F547" s="1"/>
      <c r="K547" s="1"/>
      <c r="P547" s="1"/>
    </row>
    <row r="548">
      <c r="F548" s="1"/>
      <c r="K548" s="1"/>
      <c r="P548" s="1"/>
    </row>
    <row r="549">
      <c r="F549" s="1"/>
      <c r="K549" s="1"/>
      <c r="P549" s="1"/>
    </row>
    <row r="550">
      <c r="F550" s="1"/>
      <c r="K550" s="1"/>
      <c r="P550" s="1"/>
    </row>
    <row r="551">
      <c r="F551" s="1"/>
      <c r="K551" s="1"/>
      <c r="P551" s="1"/>
    </row>
    <row r="552">
      <c r="F552" s="1"/>
      <c r="K552" s="1"/>
      <c r="P552" s="1"/>
    </row>
    <row r="553">
      <c r="F553" s="1"/>
      <c r="K553" s="1"/>
      <c r="P553" s="1"/>
    </row>
    <row r="554">
      <c r="F554" s="1"/>
      <c r="K554" s="1"/>
      <c r="P554" s="1"/>
    </row>
    <row r="555">
      <c r="F555" s="1"/>
      <c r="K555" s="1"/>
      <c r="P555" s="1"/>
    </row>
    <row r="556">
      <c r="F556" s="1"/>
      <c r="K556" s="1"/>
      <c r="P556" s="1"/>
    </row>
    <row r="557">
      <c r="F557" s="1"/>
      <c r="K557" s="1"/>
      <c r="P557" s="1"/>
    </row>
    <row r="558">
      <c r="F558" s="1"/>
      <c r="K558" s="1"/>
      <c r="P558" s="1"/>
    </row>
    <row r="559">
      <c r="F559" s="1"/>
      <c r="K559" s="1"/>
      <c r="P559" s="1"/>
    </row>
    <row r="560">
      <c r="F560" s="1"/>
      <c r="K560" s="1"/>
      <c r="P560" s="1"/>
    </row>
    <row r="561">
      <c r="F561" s="1"/>
      <c r="K561" s="1"/>
      <c r="P561" s="1"/>
    </row>
    <row r="562">
      <c r="F562" s="1"/>
      <c r="K562" s="1"/>
      <c r="P562" s="1"/>
    </row>
    <row r="563">
      <c r="F563" s="1"/>
      <c r="K563" s="1"/>
      <c r="P563" s="1"/>
    </row>
    <row r="564">
      <c r="F564" s="1"/>
      <c r="K564" s="1"/>
      <c r="P564" s="1"/>
    </row>
    <row r="565">
      <c r="F565" s="1"/>
      <c r="K565" s="1"/>
      <c r="P565" s="1"/>
    </row>
    <row r="566">
      <c r="F566" s="1"/>
      <c r="K566" s="1"/>
      <c r="P566" s="1"/>
    </row>
    <row r="567">
      <c r="F567" s="1"/>
      <c r="K567" s="1"/>
      <c r="P567" s="1"/>
    </row>
    <row r="568">
      <c r="F568" s="1"/>
      <c r="K568" s="1"/>
      <c r="P568" s="1"/>
    </row>
    <row r="569">
      <c r="F569" s="1"/>
      <c r="K569" s="1"/>
      <c r="P569" s="1"/>
    </row>
    <row r="570">
      <c r="F570" s="1"/>
      <c r="K570" s="1"/>
      <c r="P570" s="1"/>
    </row>
    <row r="571">
      <c r="F571" s="1"/>
      <c r="K571" s="1"/>
      <c r="P571" s="1"/>
    </row>
    <row r="572">
      <c r="F572" s="1"/>
      <c r="K572" s="1"/>
      <c r="P572" s="1"/>
    </row>
    <row r="573">
      <c r="F573" s="1"/>
      <c r="K573" s="1"/>
      <c r="P573" s="1"/>
    </row>
    <row r="574">
      <c r="F574" s="1"/>
      <c r="K574" s="1"/>
      <c r="P574" s="1"/>
    </row>
    <row r="575">
      <c r="F575" s="1"/>
      <c r="K575" s="1"/>
      <c r="P575" s="1"/>
    </row>
    <row r="576">
      <c r="F576" s="1"/>
      <c r="K576" s="1"/>
      <c r="P576" s="1"/>
    </row>
    <row r="577">
      <c r="F577" s="1"/>
      <c r="K577" s="1"/>
      <c r="P577" s="1"/>
    </row>
    <row r="578">
      <c r="F578" s="1"/>
      <c r="K578" s="1"/>
      <c r="P578" s="1"/>
    </row>
    <row r="579">
      <c r="F579" s="1"/>
      <c r="K579" s="1"/>
      <c r="P579" s="1"/>
    </row>
    <row r="580">
      <c r="F580" s="1"/>
      <c r="K580" s="1"/>
      <c r="P580" s="1"/>
    </row>
    <row r="581">
      <c r="F581" s="1"/>
      <c r="K581" s="1"/>
      <c r="P581" s="1"/>
    </row>
    <row r="582">
      <c r="F582" s="1"/>
      <c r="K582" s="1"/>
      <c r="P582" s="1"/>
    </row>
    <row r="583">
      <c r="F583" s="1"/>
      <c r="K583" s="1"/>
      <c r="P583" s="1"/>
    </row>
    <row r="584">
      <c r="F584" s="1"/>
      <c r="K584" s="1"/>
      <c r="P584" s="1"/>
    </row>
    <row r="585">
      <c r="F585" s="1"/>
      <c r="K585" s="1"/>
      <c r="P585" s="1"/>
    </row>
    <row r="586">
      <c r="F586" s="1"/>
      <c r="K586" s="1"/>
      <c r="P586" s="1"/>
    </row>
    <row r="587">
      <c r="F587" s="1"/>
      <c r="K587" s="1"/>
      <c r="P587" s="1"/>
    </row>
    <row r="588">
      <c r="F588" s="1"/>
      <c r="K588" s="1"/>
      <c r="P588" s="1"/>
    </row>
    <row r="589">
      <c r="F589" s="1"/>
      <c r="K589" s="1"/>
      <c r="P589" s="1"/>
    </row>
    <row r="590">
      <c r="F590" s="1"/>
      <c r="K590" s="1"/>
      <c r="P590" s="1"/>
    </row>
    <row r="591">
      <c r="F591" s="1"/>
      <c r="K591" s="1"/>
      <c r="P591" s="1"/>
    </row>
    <row r="592">
      <c r="F592" s="1"/>
      <c r="K592" s="1"/>
      <c r="P592" s="1"/>
    </row>
    <row r="593">
      <c r="F593" s="1"/>
      <c r="K593" s="1"/>
      <c r="P593" s="1"/>
    </row>
    <row r="594">
      <c r="F594" s="1"/>
      <c r="K594" s="1"/>
      <c r="P594" s="1"/>
    </row>
    <row r="595">
      <c r="F595" s="1"/>
      <c r="K595" s="1"/>
      <c r="P595" s="1"/>
    </row>
    <row r="596">
      <c r="F596" s="1"/>
      <c r="K596" s="1"/>
      <c r="P596" s="1"/>
    </row>
    <row r="597">
      <c r="F597" s="1"/>
      <c r="K597" s="1"/>
      <c r="P597" s="1"/>
    </row>
    <row r="598">
      <c r="F598" s="1"/>
      <c r="K598" s="1"/>
      <c r="P598" s="1"/>
    </row>
    <row r="599">
      <c r="F599" s="1"/>
      <c r="K599" s="1"/>
      <c r="P599" s="1"/>
    </row>
    <row r="600">
      <c r="F600" s="1"/>
      <c r="K600" s="1"/>
      <c r="P600" s="1"/>
    </row>
    <row r="601">
      <c r="F601" s="1"/>
      <c r="K601" s="1"/>
      <c r="P601" s="1"/>
    </row>
    <row r="602">
      <c r="F602" s="1"/>
      <c r="K602" s="1"/>
      <c r="P602" s="1"/>
    </row>
    <row r="603">
      <c r="F603" s="1"/>
      <c r="K603" s="1"/>
      <c r="P603" s="1"/>
    </row>
    <row r="604">
      <c r="F604" s="1"/>
      <c r="K604" s="1"/>
      <c r="P604" s="1"/>
    </row>
    <row r="605">
      <c r="F605" s="1"/>
      <c r="K605" s="1"/>
      <c r="P605" s="1"/>
    </row>
    <row r="606">
      <c r="F606" s="1"/>
      <c r="K606" s="1"/>
      <c r="P606" s="1"/>
    </row>
    <row r="607">
      <c r="F607" s="1"/>
      <c r="K607" s="1"/>
      <c r="P607" s="1"/>
    </row>
    <row r="608">
      <c r="F608" s="1"/>
      <c r="K608" s="1"/>
      <c r="P608" s="1"/>
    </row>
    <row r="609">
      <c r="F609" s="1"/>
      <c r="K609" s="1"/>
      <c r="P609" s="1"/>
    </row>
    <row r="610">
      <c r="F610" s="1"/>
      <c r="K610" s="1"/>
      <c r="P610" s="1"/>
    </row>
    <row r="611">
      <c r="F611" s="1"/>
      <c r="K611" s="1"/>
      <c r="P611" s="1"/>
    </row>
    <row r="612">
      <c r="F612" s="1"/>
      <c r="K612" s="1"/>
      <c r="P612" s="1"/>
    </row>
    <row r="613">
      <c r="F613" s="1"/>
      <c r="K613" s="1"/>
      <c r="P613" s="1"/>
    </row>
    <row r="614">
      <c r="F614" s="1"/>
      <c r="K614" s="1"/>
      <c r="P614" s="1"/>
    </row>
    <row r="615">
      <c r="F615" s="1"/>
      <c r="K615" s="1"/>
      <c r="P615" s="1"/>
    </row>
    <row r="616">
      <c r="F616" s="1"/>
      <c r="K616" s="1"/>
      <c r="P616" s="1"/>
    </row>
    <row r="617">
      <c r="F617" s="1"/>
      <c r="K617" s="1"/>
      <c r="P617" s="1"/>
    </row>
    <row r="618">
      <c r="F618" s="1"/>
      <c r="K618" s="1"/>
      <c r="P618" s="1"/>
    </row>
    <row r="619">
      <c r="F619" s="1"/>
      <c r="K619" s="1"/>
      <c r="P619" s="1"/>
    </row>
    <row r="620">
      <c r="F620" s="1"/>
      <c r="K620" s="1"/>
      <c r="P620" s="1"/>
    </row>
    <row r="621">
      <c r="F621" s="1"/>
      <c r="K621" s="1"/>
      <c r="P621" s="1"/>
    </row>
    <row r="622">
      <c r="F622" s="1"/>
      <c r="K622" s="1"/>
      <c r="P622" s="1"/>
    </row>
    <row r="623">
      <c r="F623" s="1"/>
      <c r="K623" s="1"/>
      <c r="P623" s="1"/>
    </row>
    <row r="624">
      <c r="F624" s="1"/>
      <c r="K624" s="1"/>
      <c r="P624" s="1"/>
    </row>
    <row r="625">
      <c r="F625" s="1"/>
      <c r="K625" s="1"/>
      <c r="P625" s="1"/>
    </row>
    <row r="626">
      <c r="F626" s="1"/>
      <c r="K626" s="1"/>
      <c r="P626" s="1"/>
    </row>
    <row r="627">
      <c r="F627" s="1"/>
      <c r="K627" s="1"/>
      <c r="P627" s="1"/>
    </row>
    <row r="628">
      <c r="F628" s="1"/>
      <c r="K628" s="1"/>
      <c r="P628" s="1"/>
    </row>
    <row r="629">
      <c r="F629" s="1"/>
      <c r="K629" s="1"/>
      <c r="P629" s="1"/>
    </row>
    <row r="630">
      <c r="F630" s="1"/>
      <c r="K630" s="1"/>
      <c r="P630" s="1"/>
    </row>
    <row r="631">
      <c r="F631" s="1"/>
      <c r="K631" s="1"/>
      <c r="P631" s="1"/>
    </row>
    <row r="632">
      <c r="F632" s="1"/>
      <c r="K632" s="1"/>
      <c r="P632" s="1"/>
    </row>
    <row r="633">
      <c r="F633" s="1"/>
      <c r="K633" s="1"/>
      <c r="P633" s="1"/>
    </row>
    <row r="634">
      <c r="F634" s="1"/>
      <c r="K634" s="1"/>
      <c r="P634" s="1"/>
    </row>
    <row r="635">
      <c r="F635" s="1"/>
      <c r="K635" s="1"/>
      <c r="P635" s="1"/>
    </row>
    <row r="636">
      <c r="F636" s="1"/>
      <c r="K636" s="1"/>
      <c r="P636" s="1"/>
    </row>
    <row r="637">
      <c r="F637" s="1"/>
      <c r="K637" s="1"/>
      <c r="P637" s="1"/>
    </row>
    <row r="638">
      <c r="F638" s="1"/>
      <c r="K638" s="1"/>
      <c r="P638" s="1"/>
    </row>
    <row r="639">
      <c r="F639" s="1"/>
      <c r="K639" s="1"/>
      <c r="P639" s="1"/>
    </row>
    <row r="640">
      <c r="F640" s="1"/>
      <c r="K640" s="1"/>
      <c r="P640" s="1"/>
    </row>
    <row r="641">
      <c r="F641" s="1"/>
      <c r="K641" s="1"/>
      <c r="P641" s="1"/>
    </row>
    <row r="642">
      <c r="F642" s="1"/>
      <c r="K642" s="1"/>
      <c r="P642" s="1"/>
    </row>
    <row r="643">
      <c r="F643" s="1"/>
      <c r="K643" s="1"/>
      <c r="P643" s="1"/>
    </row>
    <row r="644">
      <c r="F644" s="1"/>
      <c r="K644" s="1"/>
      <c r="P644" s="1"/>
    </row>
    <row r="645">
      <c r="F645" s="1"/>
      <c r="K645" s="1"/>
      <c r="P645" s="1"/>
    </row>
    <row r="646">
      <c r="F646" s="1"/>
      <c r="K646" s="1"/>
      <c r="P646" s="1"/>
    </row>
    <row r="647">
      <c r="F647" s="1"/>
      <c r="K647" s="1"/>
      <c r="P647" s="1"/>
    </row>
    <row r="648">
      <c r="F648" s="1"/>
      <c r="K648" s="1"/>
      <c r="P648" s="1"/>
    </row>
    <row r="649">
      <c r="F649" s="1"/>
      <c r="K649" s="1"/>
      <c r="P649" s="1"/>
    </row>
    <row r="650">
      <c r="F650" s="1"/>
      <c r="K650" s="1"/>
      <c r="P650" s="1"/>
    </row>
    <row r="651">
      <c r="F651" s="1"/>
      <c r="K651" s="1"/>
      <c r="P651" s="1"/>
    </row>
    <row r="652">
      <c r="F652" s="1"/>
      <c r="K652" s="1"/>
      <c r="P652" s="1"/>
    </row>
    <row r="653">
      <c r="F653" s="1"/>
      <c r="K653" s="1"/>
      <c r="P653" s="1"/>
    </row>
    <row r="654">
      <c r="F654" s="1"/>
      <c r="K654" s="1"/>
      <c r="P654" s="1"/>
    </row>
    <row r="655">
      <c r="F655" s="1"/>
      <c r="K655" s="1"/>
      <c r="P655" s="1"/>
    </row>
    <row r="656">
      <c r="F656" s="1"/>
      <c r="K656" s="1"/>
      <c r="P656" s="1"/>
    </row>
    <row r="657">
      <c r="F657" s="1"/>
      <c r="K657" s="1"/>
      <c r="P657" s="1"/>
    </row>
    <row r="658">
      <c r="F658" s="1"/>
      <c r="K658" s="1"/>
      <c r="P658" s="1"/>
    </row>
    <row r="659">
      <c r="F659" s="1"/>
      <c r="K659" s="1"/>
      <c r="P659" s="1"/>
    </row>
    <row r="660">
      <c r="F660" s="1"/>
      <c r="K660" s="1"/>
      <c r="P660" s="1"/>
    </row>
    <row r="661">
      <c r="F661" s="1"/>
      <c r="K661" s="1"/>
      <c r="P661" s="1"/>
    </row>
    <row r="662">
      <c r="F662" s="1"/>
      <c r="K662" s="1"/>
      <c r="P662" s="1"/>
    </row>
    <row r="663">
      <c r="F663" s="1"/>
      <c r="K663" s="1"/>
      <c r="P663" s="1"/>
    </row>
    <row r="664">
      <c r="F664" s="1"/>
      <c r="K664" s="1"/>
      <c r="P664" s="1"/>
    </row>
    <row r="665">
      <c r="F665" s="1"/>
      <c r="K665" s="1"/>
      <c r="P665" s="1"/>
    </row>
    <row r="666">
      <c r="F666" s="1"/>
      <c r="K666" s="1"/>
      <c r="P666" s="1"/>
    </row>
    <row r="667">
      <c r="F667" s="1"/>
      <c r="K667" s="1"/>
      <c r="P667" s="1"/>
    </row>
    <row r="668">
      <c r="F668" s="1"/>
      <c r="K668" s="1"/>
      <c r="P668" s="1"/>
    </row>
    <row r="669">
      <c r="F669" s="1"/>
      <c r="K669" s="1"/>
      <c r="P669" s="1"/>
    </row>
    <row r="670">
      <c r="F670" s="1"/>
      <c r="K670" s="1"/>
      <c r="P670" s="1"/>
    </row>
    <row r="671">
      <c r="F671" s="1"/>
      <c r="K671" s="1"/>
      <c r="P671" s="1"/>
    </row>
    <row r="672">
      <c r="F672" s="1"/>
      <c r="K672" s="1"/>
      <c r="P672" s="1"/>
    </row>
    <row r="673">
      <c r="F673" s="1"/>
      <c r="K673" s="1"/>
      <c r="P673" s="1"/>
    </row>
    <row r="674">
      <c r="F674" s="1"/>
      <c r="K674" s="1"/>
      <c r="P674" s="1"/>
    </row>
    <row r="675">
      <c r="F675" s="1"/>
      <c r="K675" s="1"/>
      <c r="P675" s="1"/>
    </row>
    <row r="676">
      <c r="F676" s="1"/>
      <c r="K676" s="1"/>
      <c r="P676" s="1"/>
    </row>
    <row r="677">
      <c r="F677" s="1"/>
      <c r="K677" s="1"/>
      <c r="P677" s="1"/>
    </row>
    <row r="678">
      <c r="F678" s="1"/>
      <c r="K678" s="1"/>
      <c r="P678" s="1"/>
    </row>
    <row r="679">
      <c r="F679" s="1"/>
      <c r="K679" s="1"/>
      <c r="P679" s="1"/>
    </row>
    <row r="680">
      <c r="F680" s="1"/>
      <c r="K680" s="1"/>
      <c r="P680" s="1"/>
    </row>
    <row r="681">
      <c r="F681" s="1"/>
      <c r="K681" s="1"/>
      <c r="P681" s="1"/>
    </row>
    <row r="682">
      <c r="F682" s="1"/>
      <c r="K682" s="1"/>
      <c r="P682" s="1"/>
    </row>
    <row r="683">
      <c r="F683" s="1"/>
      <c r="K683" s="1"/>
      <c r="P683" s="1"/>
    </row>
    <row r="684">
      <c r="F684" s="1"/>
      <c r="K684" s="1"/>
      <c r="P684" s="1"/>
    </row>
    <row r="685">
      <c r="F685" s="1"/>
      <c r="K685" s="1"/>
      <c r="P685" s="1"/>
    </row>
    <row r="686">
      <c r="F686" s="1"/>
      <c r="K686" s="1"/>
      <c r="P686" s="1"/>
    </row>
    <row r="687">
      <c r="F687" s="1"/>
      <c r="K687" s="1"/>
      <c r="P687" s="1"/>
    </row>
    <row r="688">
      <c r="F688" s="1"/>
      <c r="K688" s="1"/>
      <c r="P688" s="1"/>
    </row>
    <row r="689">
      <c r="F689" s="1"/>
      <c r="K689" s="1"/>
      <c r="P689" s="1"/>
    </row>
    <row r="690">
      <c r="F690" s="1"/>
      <c r="K690" s="1"/>
      <c r="P690" s="1"/>
    </row>
    <row r="691">
      <c r="F691" s="1"/>
      <c r="K691" s="1"/>
      <c r="P691" s="1"/>
    </row>
    <row r="692">
      <c r="F692" s="1"/>
      <c r="K692" s="1"/>
      <c r="P692" s="1"/>
    </row>
    <row r="693">
      <c r="F693" s="1"/>
      <c r="K693" s="1"/>
      <c r="P693" s="1"/>
    </row>
    <row r="694">
      <c r="F694" s="1"/>
      <c r="K694" s="1"/>
      <c r="P694" s="1"/>
    </row>
    <row r="695">
      <c r="F695" s="1"/>
      <c r="K695" s="1"/>
      <c r="P695" s="1"/>
    </row>
    <row r="696">
      <c r="F696" s="1"/>
      <c r="K696" s="1"/>
      <c r="P696" s="1"/>
    </row>
    <row r="697">
      <c r="F697" s="1"/>
      <c r="K697" s="1"/>
      <c r="P697" s="1"/>
    </row>
    <row r="698">
      <c r="F698" s="1"/>
      <c r="K698" s="1"/>
      <c r="P698" s="1"/>
    </row>
    <row r="699">
      <c r="F699" s="1"/>
      <c r="K699" s="1"/>
      <c r="P699" s="1"/>
    </row>
    <row r="700">
      <c r="F700" s="1"/>
      <c r="K700" s="1"/>
      <c r="P700" s="1"/>
    </row>
    <row r="701">
      <c r="F701" s="1"/>
      <c r="K701" s="1"/>
      <c r="P701" s="1"/>
    </row>
    <row r="702">
      <c r="F702" s="1"/>
      <c r="K702" s="1"/>
      <c r="P702" s="1"/>
    </row>
    <row r="703">
      <c r="F703" s="1"/>
      <c r="K703" s="1"/>
      <c r="P703" s="1"/>
    </row>
    <row r="704">
      <c r="F704" s="1"/>
      <c r="K704" s="1"/>
      <c r="P704" s="1"/>
    </row>
    <row r="705">
      <c r="F705" s="1"/>
      <c r="K705" s="1"/>
      <c r="P705" s="1"/>
    </row>
    <row r="706">
      <c r="F706" s="1"/>
      <c r="K706" s="1"/>
      <c r="P706" s="1"/>
    </row>
    <row r="707">
      <c r="F707" s="1"/>
      <c r="K707" s="1"/>
      <c r="P707" s="1"/>
    </row>
    <row r="708">
      <c r="F708" s="1"/>
      <c r="K708" s="1"/>
      <c r="P708" s="1"/>
    </row>
    <row r="709">
      <c r="F709" s="1"/>
      <c r="K709" s="1"/>
      <c r="P709" s="1"/>
    </row>
    <row r="710">
      <c r="F710" s="1"/>
      <c r="K710" s="1"/>
      <c r="P710" s="1"/>
    </row>
    <row r="711">
      <c r="F711" s="1"/>
      <c r="K711" s="1"/>
      <c r="P711" s="1"/>
    </row>
    <row r="712">
      <c r="F712" s="1"/>
      <c r="K712" s="1"/>
      <c r="P712" s="1"/>
    </row>
    <row r="713">
      <c r="F713" s="1"/>
      <c r="K713" s="1"/>
      <c r="P713" s="1"/>
    </row>
    <row r="714">
      <c r="F714" s="1"/>
      <c r="K714" s="1"/>
      <c r="P714" s="1"/>
    </row>
    <row r="715">
      <c r="F715" s="1"/>
      <c r="K715" s="1"/>
      <c r="P715" s="1"/>
    </row>
    <row r="716">
      <c r="F716" s="1"/>
      <c r="K716" s="1"/>
      <c r="P716" s="1"/>
    </row>
    <row r="717">
      <c r="F717" s="1"/>
      <c r="K717" s="1"/>
      <c r="P717" s="1"/>
    </row>
    <row r="718">
      <c r="F718" s="1"/>
      <c r="K718" s="1"/>
      <c r="P718" s="1"/>
    </row>
    <row r="719">
      <c r="F719" s="1"/>
      <c r="K719" s="1"/>
      <c r="P719" s="1"/>
    </row>
    <row r="720">
      <c r="F720" s="1"/>
      <c r="K720" s="1"/>
      <c r="P720" s="1"/>
    </row>
    <row r="721">
      <c r="F721" s="1"/>
      <c r="K721" s="1"/>
      <c r="P721" s="1"/>
    </row>
    <row r="722">
      <c r="F722" s="1"/>
      <c r="K722" s="1"/>
      <c r="P722" s="1"/>
    </row>
    <row r="723">
      <c r="F723" s="1"/>
      <c r="K723" s="1"/>
      <c r="P723" s="1"/>
    </row>
    <row r="724">
      <c r="F724" s="1"/>
      <c r="K724" s="1"/>
      <c r="P724" s="1"/>
    </row>
    <row r="725">
      <c r="F725" s="1"/>
      <c r="K725" s="1"/>
      <c r="P725" s="1"/>
    </row>
    <row r="726">
      <c r="F726" s="1"/>
      <c r="K726" s="1"/>
      <c r="P726" s="1"/>
    </row>
    <row r="727">
      <c r="F727" s="1"/>
      <c r="K727" s="1"/>
      <c r="P727" s="1"/>
    </row>
    <row r="728">
      <c r="F728" s="1"/>
      <c r="K728" s="1"/>
      <c r="P728" s="1"/>
    </row>
    <row r="729">
      <c r="F729" s="1"/>
      <c r="K729" s="1"/>
      <c r="P729" s="1"/>
    </row>
    <row r="730">
      <c r="F730" s="1"/>
      <c r="K730" s="1"/>
      <c r="P730" s="1"/>
    </row>
    <row r="731">
      <c r="F731" s="1"/>
      <c r="K731" s="1"/>
      <c r="P731" s="1"/>
    </row>
    <row r="732">
      <c r="F732" s="1"/>
      <c r="K732" s="1"/>
      <c r="P732" s="1"/>
    </row>
    <row r="733">
      <c r="F733" s="1"/>
      <c r="K733" s="1"/>
      <c r="P733" s="1"/>
    </row>
    <row r="734">
      <c r="F734" s="1"/>
      <c r="K734" s="1"/>
      <c r="P734" s="1"/>
    </row>
    <row r="735">
      <c r="F735" s="1"/>
      <c r="K735" s="1"/>
      <c r="P735" s="1"/>
    </row>
    <row r="736">
      <c r="F736" s="1"/>
      <c r="K736" s="1"/>
      <c r="P736" s="1"/>
    </row>
    <row r="737">
      <c r="F737" s="1"/>
      <c r="K737" s="1"/>
      <c r="P737" s="1"/>
    </row>
    <row r="738">
      <c r="F738" s="1"/>
      <c r="K738" s="1"/>
      <c r="P738" s="1"/>
    </row>
    <row r="739">
      <c r="F739" s="1"/>
      <c r="K739" s="1"/>
      <c r="P739" s="1"/>
    </row>
    <row r="740">
      <c r="F740" s="1"/>
      <c r="K740" s="1"/>
      <c r="P740" s="1"/>
    </row>
    <row r="741">
      <c r="F741" s="1"/>
      <c r="K741" s="1"/>
      <c r="P741" s="1"/>
    </row>
    <row r="742">
      <c r="F742" s="1"/>
      <c r="K742" s="1"/>
      <c r="P742" s="1"/>
    </row>
    <row r="743">
      <c r="F743" s="1"/>
      <c r="K743" s="1"/>
      <c r="P743" s="1"/>
    </row>
    <row r="744">
      <c r="F744" s="1"/>
      <c r="K744" s="1"/>
      <c r="P744" s="1"/>
    </row>
    <row r="745">
      <c r="F745" s="1"/>
      <c r="K745" s="1"/>
      <c r="P745" s="1"/>
    </row>
    <row r="746">
      <c r="F746" s="1"/>
      <c r="K746" s="1"/>
      <c r="P746" s="1"/>
    </row>
    <row r="747">
      <c r="F747" s="1"/>
      <c r="K747" s="1"/>
      <c r="P747" s="1"/>
    </row>
    <row r="748">
      <c r="F748" s="1"/>
      <c r="K748" s="1"/>
      <c r="P748" s="1"/>
    </row>
    <row r="749">
      <c r="F749" s="1"/>
      <c r="K749" s="1"/>
      <c r="P749" s="1"/>
    </row>
    <row r="750">
      <c r="F750" s="1"/>
      <c r="K750" s="1"/>
      <c r="P750" s="1"/>
    </row>
    <row r="751">
      <c r="F751" s="1"/>
      <c r="K751" s="1"/>
      <c r="P751" s="1"/>
    </row>
    <row r="752">
      <c r="F752" s="1"/>
      <c r="K752" s="1"/>
      <c r="P752" s="1"/>
    </row>
    <row r="753">
      <c r="F753" s="1"/>
      <c r="K753" s="1"/>
      <c r="P753" s="1"/>
    </row>
    <row r="754">
      <c r="F754" s="1"/>
      <c r="K754" s="1"/>
      <c r="P754" s="1"/>
    </row>
    <row r="755">
      <c r="F755" s="1"/>
      <c r="K755" s="1"/>
      <c r="P755" s="1"/>
    </row>
    <row r="756">
      <c r="F756" s="1"/>
      <c r="K756" s="1"/>
      <c r="P756" s="1"/>
    </row>
    <row r="757">
      <c r="F757" s="1"/>
      <c r="K757" s="1"/>
      <c r="P757" s="1"/>
    </row>
    <row r="758">
      <c r="F758" s="1"/>
      <c r="K758" s="1"/>
      <c r="P758" s="1"/>
    </row>
    <row r="759">
      <c r="F759" s="1"/>
      <c r="K759" s="1"/>
      <c r="P759" s="1"/>
    </row>
    <row r="760">
      <c r="F760" s="1"/>
      <c r="K760" s="1"/>
      <c r="P760" s="1"/>
    </row>
    <row r="761">
      <c r="F761" s="1"/>
      <c r="K761" s="1"/>
      <c r="P761" s="1"/>
    </row>
    <row r="762">
      <c r="F762" s="1"/>
      <c r="K762" s="1"/>
      <c r="P762" s="1"/>
    </row>
    <row r="763">
      <c r="F763" s="1"/>
      <c r="K763" s="1"/>
      <c r="P763" s="1"/>
    </row>
    <row r="764">
      <c r="F764" s="1"/>
      <c r="K764" s="1"/>
      <c r="P764" s="1"/>
    </row>
    <row r="765">
      <c r="F765" s="1"/>
      <c r="K765" s="1"/>
      <c r="P765" s="1"/>
    </row>
    <row r="766">
      <c r="F766" s="1"/>
      <c r="K766" s="1"/>
      <c r="P766" s="1"/>
    </row>
    <row r="767">
      <c r="F767" s="1"/>
      <c r="K767" s="1"/>
      <c r="P767" s="1"/>
    </row>
    <row r="768">
      <c r="F768" s="1"/>
      <c r="K768" s="1"/>
      <c r="P768" s="1"/>
    </row>
    <row r="769">
      <c r="F769" s="1"/>
      <c r="K769" s="1"/>
      <c r="P769" s="1"/>
    </row>
    <row r="770">
      <c r="F770" s="1"/>
      <c r="K770" s="1"/>
      <c r="P770" s="1"/>
    </row>
    <row r="771">
      <c r="F771" s="1"/>
      <c r="K771" s="1"/>
      <c r="P771" s="1"/>
    </row>
    <row r="772">
      <c r="F772" s="1"/>
      <c r="K772" s="1"/>
      <c r="P772" s="1"/>
    </row>
    <row r="773">
      <c r="F773" s="1"/>
      <c r="K773" s="1"/>
      <c r="P773" s="1"/>
    </row>
    <row r="774">
      <c r="F774" s="1"/>
      <c r="K774" s="1"/>
      <c r="P774" s="1"/>
    </row>
    <row r="775">
      <c r="F775" s="1"/>
      <c r="K775" s="1"/>
      <c r="P775" s="1"/>
    </row>
    <row r="776">
      <c r="F776" s="1"/>
      <c r="K776" s="1"/>
      <c r="P776" s="1"/>
    </row>
    <row r="777">
      <c r="F777" s="1"/>
      <c r="K777" s="1"/>
      <c r="P777" s="1"/>
    </row>
    <row r="778">
      <c r="F778" s="1"/>
      <c r="K778" s="1"/>
      <c r="P778" s="1"/>
    </row>
    <row r="779">
      <c r="F779" s="1"/>
      <c r="K779" s="1"/>
      <c r="P779" s="1"/>
    </row>
    <row r="780">
      <c r="F780" s="1"/>
      <c r="K780" s="1"/>
      <c r="P780" s="1"/>
    </row>
    <row r="781">
      <c r="F781" s="1"/>
      <c r="K781" s="1"/>
      <c r="P781" s="1"/>
    </row>
    <row r="782">
      <c r="F782" s="1"/>
      <c r="K782" s="1"/>
      <c r="P782" s="1"/>
    </row>
    <row r="783">
      <c r="F783" s="1"/>
      <c r="K783" s="1"/>
      <c r="P783" s="1"/>
    </row>
    <row r="784">
      <c r="F784" s="1"/>
      <c r="K784" s="1"/>
      <c r="P784" s="1"/>
    </row>
    <row r="785">
      <c r="F785" s="1"/>
      <c r="K785" s="1"/>
      <c r="P785" s="1"/>
    </row>
    <row r="786">
      <c r="F786" s="1"/>
      <c r="K786" s="1"/>
      <c r="P786" s="1"/>
    </row>
    <row r="787">
      <c r="F787" s="1"/>
      <c r="K787" s="1"/>
      <c r="P787" s="1"/>
    </row>
    <row r="788">
      <c r="F788" s="1"/>
      <c r="K788" s="1"/>
      <c r="P788" s="1"/>
    </row>
    <row r="789">
      <c r="F789" s="1"/>
      <c r="K789" s="1"/>
      <c r="P789" s="1"/>
    </row>
    <row r="790">
      <c r="F790" s="1"/>
      <c r="K790" s="1"/>
      <c r="P790" s="1"/>
    </row>
    <row r="791">
      <c r="F791" s="1"/>
      <c r="K791" s="1"/>
      <c r="P791" s="1"/>
    </row>
    <row r="792">
      <c r="F792" s="1"/>
      <c r="K792" s="1"/>
      <c r="P792" s="1"/>
    </row>
    <row r="793">
      <c r="F793" s="1"/>
      <c r="K793" s="1"/>
      <c r="P793" s="1"/>
    </row>
    <row r="794">
      <c r="F794" s="1"/>
      <c r="K794" s="1"/>
      <c r="P794" s="1"/>
    </row>
    <row r="795">
      <c r="F795" s="1"/>
      <c r="K795" s="1"/>
      <c r="P795" s="1"/>
    </row>
    <row r="796">
      <c r="F796" s="1"/>
      <c r="K796" s="1"/>
      <c r="P796" s="1"/>
    </row>
    <row r="797">
      <c r="F797" s="1"/>
      <c r="K797" s="1"/>
      <c r="P797" s="1"/>
    </row>
    <row r="798">
      <c r="F798" s="1"/>
      <c r="K798" s="1"/>
      <c r="P798" s="1"/>
    </row>
    <row r="799">
      <c r="F799" s="1"/>
      <c r="K799" s="1"/>
      <c r="P799" s="1"/>
    </row>
    <row r="800">
      <c r="F800" s="1"/>
      <c r="K800" s="1"/>
      <c r="P800" s="1"/>
    </row>
    <row r="801">
      <c r="F801" s="1"/>
      <c r="K801" s="1"/>
      <c r="P801" s="1"/>
    </row>
    <row r="802">
      <c r="F802" s="1"/>
      <c r="K802" s="1"/>
      <c r="P802" s="1"/>
    </row>
    <row r="803">
      <c r="F803" s="1"/>
      <c r="K803" s="1"/>
      <c r="P803" s="1"/>
    </row>
    <row r="804">
      <c r="F804" s="1"/>
      <c r="K804" s="1"/>
      <c r="P804" s="1"/>
    </row>
    <row r="805">
      <c r="F805" s="1"/>
      <c r="K805" s="1"/>
      <c r="P805" s="1"/>
    </row>
    <row r="806">
      <c r="F806" s="1"/>
      <c r="K806" s="1"/>
      <c r="P806" s="1"/>
    </row>
    <row r="807">
      <c r="F807" s="1"/>
      <c r="K807" s="1"/>
      <c r="P807" s="1"/>
    </row>
    <row r="808">
      <c r="F808" s="1"/>
      <c r="K808" s="1"/>
      <c r="P808" s="1"/>
    </row>
    <row r="809">
      <c r="F809" s="1"/>
      <c r="K809" s="1"/>
      <c r="P809" s="1"/>
    </row>
    <row r="810">
      <c r="F810" s="1"/>
      <c r="K810" s="1"/>
      <c r="P810" s="1"/>
    </row>
    <row r="811">
      <c r="F811" s="1"/>
      <c r="K811" s="1"/>
      <c r="P811" s="1"/>
    </row>
    <row r="812">
      <c r="F812" s="1"/>
      <c r="K812" s="1"/>
      <c r="P812" s="1"/>
    </row>
    <row r="813">
      <c r="F813" s="1"/>
      <c r="K813" s="1"/>
      <c r="P813" s="1"/>
    </row>
    <row r="814">
      <c r="F814" s="1"/>
      <c r="K814" s="1"/>
      <c r="P814" s="1"/>
    </row>
    <row r="815">
      <c r="F815" s="1"/>
      <c r="K815" s="1"/>
      <c r="P815" s="1"/>
    </row>
    <row r="816">
      <c r="F816" s="1"/>
      <c r="K816" s="1"/>
      <c r="P816" s="1"/>
    </row>
    <row r="817">
      <c r="F817" s="1"/>
      <c r="K817" s="1"/>
      <c r="P817" s="1"/>
    </row>
    <row r="818">
      <c r="F818" s="1"/>
      <c r="K818" s="1"/>
      <c r="P818" s="1"/>
    </row>
    <row r="819">
      <c r="F819" s="1"/>
      <c r="K819" s="1"/>
      <c r="P819" s="1"/>
    </row>
    <row r="820">
      <c r="F820" s="1"/>
      <c r="K820" s="1"/>
      <c r="P820" s="1"/>
    </row>
    <row r="821">
      <c r="F821" s="1"/>
      <c r="K821" s="1"/>
      <c r="P821" s="1"/>
    </row>
    <row r="822">
      <c r="F822" s="1"/>
      <c r="K822" s="1"/>
      <c r="P822" s="1"/>
    </row>
    <row r="823">
      <c r="F823" s="1"/>
      <c r="K823" s="1"/>
      <c r="P823" s="1"/>
    </row>
    <row r="824">
      <c r="F824" s="1"/>
      <c r="K824" s="1"/>
      <c r="P824" s="1"/>
    </row>
    <row r="825">
      <c r="F825" s="1"/>
      <c r="K825" s="1"/>
      <c r="P825" s="1"/>
    </row>
    <row r="826">
      <c r="F826" s="1"/>
      <c r="K826" s="1"/>
      <c r="P826" s="1"/>
    </row>
    <row r="827">
      <c r="F827" s="1"/>
      <c r="K827" s="1"/>
      <c r="P827" s="1"/>
    </row>
    <row r="828">
      <c r="F828" s="1"/>
      <c r="K828" s="1"/>
      <c r="P828" s="1"/>
    </row>
    <row r="829">
      <c r="F829" s="1"/>
      <c r="K829" s="1"/>
      <c r="P829" s="1"/>
    </row>
    <row r="830">
      <c r="F830" s="1"/>
      <c r="K830" s="1"/>
      <c r="P830" s="1"/>
    </row>
    <row r="831">
      <c r="F831" s="1"/>
      <c r="K831" s="1"/>
      <c r="P831" s="1"/>
    </row>
    <row r="832">
      <c r="F832" s="1"/>
      <c r="K832" s="1"/>
      <c r="P832" s="1"/>
    </row>
    <row r="833">
      <c r="F833" s="1"/>
      <c r="K833" s="1"/>
      <c r="P833" s="1"/>
    </row>
    <row r="834">
      <c r="F834" s="1"/>
      <c r="K834" s="1"/>
      <c r="P834" s="1"/>
    </row>
    <row r="835">
      <c r="F835" s="1"/>
      <c r="K835" s="1"/>
      <c r="P835" s="1"/>
    </row>
    <row r="836">
      <c r="F836" s="1"/>
      <c r="K836" s="1"/>
      <c r="P836" s="1"/>
    </row>
    <row r="837">
      <c r="F837" s="1"/>
      <c r="K837" s="1"/>
      <c r="P837" s="1"/>
    </row>
    <row r="838">
      <c r="F838" s="1"/>
      <c r="K838" s="1"/>
      <c r="P838" s="1"/>
    </row>
    <row r="839">
      <c r="F839" s="1"/>
      <c r="K839" s="1"/>
      <c r="P839" s="1"/>
    </row>
    <row r="840">
      <c r="F840" s="1"/>
      <c r="K840" s="1"/>
      <c r="P840" s="1"/>
    </row>
    <row r="841">
      <c r="F841" s="1"/>
      <c r="K841" s="1"/>
      <c r="P841" s="1"/>
    </row>
    <row r="842">
      <c r="F842" s="1"/>
      <c r="K842" s="1"/>
      <c r="P842" s="1"/>
    </row>
    <row r="843">
      <c r="F843" s="1"/>
      <c r="K843" s="1"/>
      <c r="P843" s="1"/>
    </row>
    <row r="844">
      <c r="F844" s="1"/>
      <c r="K844" s="1"/>
      <c r="P844" s="1"/>
    </row>
    <row r="845">
      <c r="F845" s="1"/>
      <c r="K845" s="1"/>
      <c r="P845" s="1"/>
    </row>
    <row r="846">
      <c r="F846" s="1"/>
      <c r="K846" s="1"/>
      <c r="P846" s="1"/>
    </row>
    <row r="847">
      <c r="F847" s="1"/>
      <c r="K847" s="1"/>
      <c r="P847" s="1"/>
    </row>
    <row r="848">
      <c r="F848" s="1"/>
      <c r="K848" s="1"/>
      <c r="P848" s="1"/>
    </row>
    <row r="849">
      <c r="F849" s="1"/>
      <c r="K849" s="1"/>
      <c r="P849" s="1"/>
    </row>
    <row r="850">
      <c r="F850" s="1"/>
      <c r="K850" s="1"/>
      <c r="P850" s="1"/>
    </row>
    <row r="851">
      <c r="F851" s="1"/>
      <c r="K851" s="1"/>
      <c r="P851" s="1"/>
    </row>
    <row r="852">
      <c r="F852" s="1"/>
      <c r="K852" s="1"/>
      <c r="P852" s="1"/>
    </row>
    <row r="853">
      <c r="F853" s="1"/>
      <c r="K853" s="1"/>
      <c r="P853" s="1"/>
    </row>
    <row r="854">
      <c r="F854" s="1"/>
      <c r="K854" s="1"/>
      <c r="P854" s="1"/>
    </row>
    <row r="855">
      <c r="F855" s="1"/>
      <c r="K855" s="1"/>
      <c r="P855" s="1"/>
    </row>
    <row r="856">
      <c r="F856" s="1"/>
      <c r="K856" s="1"/>
      <c r="P856" s="1"/>
    </row>
    <row r="857">
      <c r="F857" s="1"/>
      <c r="K857" s="1"/>
      <c r="P857" s="1"/>
    </row>
    <row r="858">
      <c r="F858" s="1"/>
      <c r="K858" s="1"/>
      <c r="P858" s="1"/>
    </row>
    <row r="859">
      <c r="F859" s="1"/>
      <c r="K859" s="1"/>
      <c r="P859" s="1"/>
    </row>
    <row r="860">
      <c r="F860" s="1"/>
      <c r="K860" s="1"/>
      <c r="P860" s="1"/>
    </row>
    <row r="861">
      <c r="F861" s="1"/>
      <c r="K861" s="1"/>
      <c r="P861" s="1"/>
    </row>
    <row r="862">
      <c r="F862" s="1"/>
      <c r="K862" s="1"/>
      <c r="P862" s="1"/>
    </row>
    <row r="863">
      <c r="F863" s="1"/>
      <c r="K863" s="1"/>
      <c r="P863" s="1"/>
    </row>
    <row r="864">
      <c r="F864" s="1"/>
      <c r="K864" s="1"/>
      <c r="P864" s="1"/>
    </row>
    <row r="865">
      <c r="F865" s="1"/>
      <c r="K865" s="1"/>
      <c r="P865" s="1"/>
    </row>
    <row r="866">
      <c r="F866" s="1"/>
      <c r="K866" s="1"/>
      <c r="P866" s="1"/>
    </row>
    <row r="867">
      <c r="F867" s="1"/>
      <c r="K867" s="1"/>
      <c r="P867" s="1"/>
    </row>
    <row r="868">
      <c r="F868" s="1"/>
      <c r="K868" s="1"/>
      <c r="P868" s="1"/>
    </row>
    <row r="869">
      <c r="F869" s="1"/>
      <c r="K869" s="1"/>
      <c r="P869" s="1"/>
    </row>
    <row r="870">
      <c r="F870" s="1"/>
      <c r="K870" s="1"/>
      <c r="P870" s="1"/>
    </row>
    <row r="871">
      <c r="F871" s="1"/>
      <c r="K871" s="1"/>
      <c r="P871" s="1"/>
    </row>
    <row r="872">
      <c r="F872" s="1"/>
      <c r="K872" s="1"/>
      <c r="P872" s="1"/>
    </row>
    <row r="873">
      <c r="F873" s="1"/>
      <c r="K873" s="1"/>
      <c r="P873" s="1"/>
    </row>
    <row r="874">
      <c r="F874" s="1"/>
      <c r="K874" s="1"/>
      <c r="P874" s="1"/>
    </row>
    <row r="875">
      <c r="F875" s="1"/>
      <c r="K875" s="1"/>
      <c r="P875" s="1"/>
    </row>
    <row r="876">
      <c r="F876" s="1"/>
      <c r="K876" s="1"/>
      <c r="P876" s="1"/>
    </row>
    <row r="877">
      <c r="F877" s="1"/>
      <c r="K877" s="1"/>
      <c r="P877" s="1"/>
    </row>
    <row r="878">
      <c r="F878" s="1"/>
      <c r="K878" s="1"/>
      <c r="P878" s="1"/>
    </row>
    <row r="879">
      <c r="F879" s="1"/>
      <c r="K879" s="1"/>
      <c r="P879" s="1"/>
    </row>
    <row r="880">
      <c r="F880" s="1"/>
      <c r="K880" s="1"/>
      <c r="P880" s="1"/>
    </row>
    <row r="881">
      <c r="F881" s="1"/>
      <c r="K881" s="1"/>
      <c r="P881" s="1"/>
    </row>
    <row r="882">
      <c r="F882" s="1"/>
      <c r="K882" s="1"/>
      <c r="P882" s="1"/>
    </row>
    <row r="883">
      <c r="F883" s="1"/>
      <c r="K883" s="1"/>
      <c r="P883" s="1"/>
    </row>
    <row r="884">
      <c r="F884" s="1"/>
      <c r="K884" s="1"/>
      <c r="P884" s="1"/>
    </row>
    <row r="885">
      <c r="F885" s="1"/>
      <c r="K885" s="1"/>
      <c r="P885" s="1"/>
    </row>
    <row r="886">
      <c r="F886" s="1"/>
      <c r="K886" s="1"/>
      <c r="P886" s="1"/>
    </row>
    <row r="887">
      <c r="F887" s="1"/>
      <c r="K887" s="1"/>
      <c r="P887" s="1"/>
    </row>
    <row r="888">
      <c r="F888" s="1"/>
      <c r="K888" s="1"/>
      <c r="P888" s="1"/>
    </row>
    <row r="889">
      <c r="F889" s="1"/>
      <c r="K889" s="1"/>
      <c r="P889" s="1"/>
    </row>
    <row r="890">
      <c r="F890" s="1"/>
      <c r="K890" s="1"/>
      <c r="P890" s="1"/>
    </row>
    <row r="891">
      <c r="F891" s="1"/>
      <c r="K891" s="1"/>
      <c r="P891" s="1"/>
    </row>
    <row r="892">
      <c r="F892" s="1"/>
      <c r="K892" s="1"/>
      <c r="P892" s="1"/>
    </row>
    <row r="893">
      <c r="F893" s="1"/>
      <c r="K893" s="1"/>
      <c r="P893" s="1"/>
    </row>
    <row r="894">
      <c r="F894" s="1"/>
      <c r="K894" s="1"/>
      <c r="P894" s="1"/>
    </row>
    <row r="895">
      <c r="F895" s="1"/>
      <c r="K895" s="1"/>
      <c r="P895" s="1"/>
    </row>
    <row r="896">
      <c r="F896" s="1"/>
      <c r="K896" s="1"/>
      <c r="P896" s="1"/>
    </row>
    <row r="897">
      <c r="F897" s="1"/>
      <c r="K897" s="1"/>
      <c r="P897" s="1"/>
    </row>
    <row r="898">
      <c r="F898" s="1"/>
      <c r="K898" s="1"/>
      <c r="P898" s="1"/>
    </row>
    <row r="899">
      <c r="F899" s="1"/>
      <c r="K899" s="1"/>
      <c r="P899" s="1"/>
    </row>
    <row r="900">
      <c r="F900" s="1"/>
      <c r="K900" s="1"/>
      <c r="P900" s="1"/>
    </row>
    <row r="901">
      <c r="F901" s="1"/>
      <c r="K901" s="1"/>
      <c r="P901" s="1"/>
    </row>
    <row r="902">
      <c r="F902" s="1"/>
      <c r="K902" s="1"/>
      <c r="P902" s="1"/>
    </row>
    <row r="903">
      <c r="F903" s="1"/>
      <c r="K903" s="1"/>
      <c r="P903" s="1"/>
    </row>
    <row r="904">
      <c r="F904" s="1"/>
      <c r="K904" s="1"/>
      <c r="P904" s="1"/>
    </row>
    <row r="905">
      <c r="F905" s="1"/>
      <c r="K905" s="1"/>
      <c r="P905" s="1"/>
    </row>
    <row r="906">
      <c r="F906" s="1"/>
      <c r="K906" s="1"/>
      <c r="P906" s="1"/>
    </row>
    <row r="907">
      <c r="F907" s="1"/>
      <c r="K907" s="1"/>
      <c r="P907" s="1"/>
    </row>
    <row r="908">
      <c r="F908" s="1"/>
      <c r="K908" s="1"/>
      <c r="P908" s="1"/>
    </row>
    <row r="909">
      <c r="F909" s="1"/>
      <c r="K909" s="1"/>
      <c r="P909" s="1"/>
    </row>
    <row r="910">
      <c r="F910" s="1"/>
      <c r="K910" s="1"/>
      <c r="P910" s="1"/>
    </row>
    <row r="911">
      <c r="F911" s="1"/>
      <c r="K911" s="1"/>
      <c r="P911" s="1"/>
    </row>
    <row r="912">
      <c r="F912" s="1"/>
      <c r="K912" s="1"/>
      <c r="P912" s="1"/>
    </row>
    <row r="913">
      <c r="F913" s="1"/>
      <c r="K913" s="1"/>
      <c r="P913" s="1"/>
    </row>
    <row r="914">
      <c r="F914" s="1"/>
      <c r="K914" s="1"/>
      <c r="P914" s="1"/>
    </row>
    <row r="915">
      <c r="F915" s="1"/>
      <c r="K915" s="1"/>
      <c r="P915" s="1"/>
    </row>
    <row r="916">
      <c r="F916" s="1"/>
      <c r="K916" s="1"/>
      <c r="P916" s="1"/>
    </row>
    <row r="917">
      <c r="F917" s="1"/>
      <c r="K917" s="1"/>
      <c r="P917" s="1"/>
    </row>
    <row r="918">
      <c r="F918" s="1"/>
      <c r="K918" s="1"/>
      <c r="P918" s="1"/>
    </row>
    <row r="919">
      <c r="F919" s="1"/>
      <c r="K919" s="1"/>
      <c r="P919" s="1"/>
    </row>
    <row r="920">
      <c r="F920" s="1"/>
      <c r="K920" s="1"/>
      <c r="P920" s="1"/>
    </row>
    <row r="921">
      <c r="F921" s="1"/>
      <c r="K921" s="1"/>
      <c r="P921" s="1"/>
    </row>
    <row r="922">
      <c r="F922" s="1"/>
      <c r="K922" s="1"/>
      <c r="P922" s="1"/>
    </row>
    <row r="923">
      <c r="F923" s="1"/>
      <c r="K923" s="1"/>
      <c r="P923" s="1"/>
    </row>
    <row r="924">
      <c r="F924" s="1"/>
      <c r="K924" s="1"/>
      <c r="P924" s="1"/>
    </row>
    <row r="925">
      <c r="F925" s="1"/>
      <c r="K925" s="1"/>
      <c r="P925" s="1"/>
    </row>
    <row r="926">
      <c r="F926" s="1"/>
      <c r="K926" s="1"/>
      <c r="P926" s="1"/>
    </row>
    <row r="927">
      <c r="F927" s="1"/>
      <c r="K927" s="1"/>
      <c r="P927" s="1"/>
    </row>
    <row r="928">
      <c r="F928" s="1"/>
      <c r="K928" s="1"/>
      <c r="P928" s="1"/>
    </row>
    <row r="929">
      <c r="F929" s="1"/>
      <c r="K929" s="1"/>
      <c r="P929" s="1"/>
    </row>
    <row r="930">
      <c r="F930" s="1"/>
      <c r="K930" s="1"/>
      <c r="P930" s="1"/>
    </row>
    <row r="931">
      <c r="F931" s="1"/>
      <c r="K931" s="1"/>
      <c r="P931" s="1"/>
    </row>
    <row r="932">
      <c r="F932" s="1"/>
      <c r="K932" s="1"/>
      <c r="P932" s="1"/>
    </row>
    <row r="933">
      <c r="F933" s="1"/>
      <c r="K933" s="1"/>
      <c r="P933" s="1"/>
    </row>
    <row r="934">
      <c r="F934" s="1"/>
      <c r="K934" s="1"/>
      <c r="P934" s="1"/>
    </row>
    <row r="935">
      <c r="F935" s="1"/>
      <c r="K935" s="1"/>
      <c r="P935" s="1"/>
    </row>
    <row r="936">
      <c r="F936" s="1"/>
      <c r="K936" s="1"/>
      <c r="P936" s="1"/>
    </row>
    <row r="937">
      <c r="F937" s="1"/>
      <c r="K937" s="1"/>
      <c r="P937" s="1"/>
    </row>
    <row r="938">
      <c r="F938" s="1"/>
      <c r="K938" s="1"/>
      <c r="P938" s="1"/>
    </row>
    <row r="939">
      <c r="F939" s="1"/>
      <c r="K939" s="1"/>
      <c r="P939" s="1"/>
    </row>
    <row r="940">
      <c r="F940" s="1"/>
      <c r="K940" s="1"/>
      <c r="P940" s="1"/>
    </row>
    <row r="941">
      <c r="F941" s="1"/>
      <c r="K941" s="1"/>
      <c r="P941" s="1"/>
    </row>
    <row r="942">
      <c r="F942" s="1"/>
      <c r="K942" s="1"/>
      <c r="P942" s="1"/>
    </row>
    <row r="943">
      <c r="F943" s="1"/>
      <c r="K943" s="1"/>
      <c r="P943" s="1"/>
    </row>
    <row r="944">
      <c r="F944" s="1"/>
      <c r="K944" s="1"/>
      <c r="P944" s="1"/>
    </row>
    <row r="945">
      <c r="F945" s="1"/>
      <c r="K945" s="1"/>
      <c r="P945" s="1"/>
    </row>
    <row r="946">
      <c r="F946" s="1"/>
      <c r="K946" s="1"/>
      <c r="P946" s="1"/>
    </row>
    <row r="947">
      <c r="F947" s="1"/>
      <c r="K947" s="1"/>
      <c r="P947" s="1"/>
    </row>
    <row r="948">
      <c r="F948" s="1"/>
      <c r="K948" s="1"/>
      <c r="P948" s="1"/>
    </row>
    <row r="949">
      <c r="F949" s="1"/>
      <c r="K949" s="1"/>
      <c r="P949" s="1"/>
    </row>
    <row r="950">
      <c r="F950" s="1"/>
      <c r="K950" s="1"/>
      <c r="P950" s="1"/>
    </row>
    <row r="951">
      <c r="F951" s="1"/>
      <c r="K951" s="1"/>
      <c r="P951" s="1"/>
    </row>
    <row r="952">
      <c r="F952" s="1"/>
      <c r="K952" s="1"/>
      <c r="P952" s="1"/>
    </row>
    <row r="953">
      <c r="F953" s="1"/>
      <c r="K953" s="1"/>
      <c r="P953" s="1"/>
    </row>
    <row r="954">
      <c r="F954" s="1"/>
      <c r="K954" s="1"/>
      <c r="P954" s="1"/>
    </row>
    <row r="955">
      <c r="F955" s="1"/>
      <c r="K955" s="1"/>
      <c r="P955" s="1"/>
    </row>
    <row r="956">
      <c r="F956" s="1"/>
      <c r="K956" s="1"/>
      <c r="P956" s="1"/>
    </row>
    <row r="957">
      <c r="F957" s="1"/>
      <c r="K957" s="1"/>
      <c r="P957" s="1"/>
    </row>
    <row r="958">
      <c r="F958" s="1"/>
      <c r="K958" s="1"/>
      <c r="P958" s="1"/>
    </row>
    <row r="959">
      <c r="F959" s="1"/>
      <c r="K959" s="1"/>
      <c r="P959" s="1"/>
    </row>
    <row r="960">
      <c r="F960" s="1"/>
      <c r="K960" s="1"/>
      <c r="P960" s="1"/>
    </row>
    <row r="961">
      <c r="F961" s="1"/>
      <c r="K961" s="1"/>
      <c r="P961" s="1"/>
    </row>
    <row r="962">
      <c r="F962" s="1"/>
      <c r="K962" s="1"/>
      <c r="P962" s="1"/>
    </row>
    <row r="963">
      <c r="F963" s="1"/>
      <c r="K963" s="1"/>
      <c r="P963" s="1"/>
    </row>
    <row r="964">
      <c r="F964" s="1"/>
      <c r="K964" s="1"/>
      <c r="P964" s="1"/>
    </row>
    <row r="965">
      <c r="F965" s="1"/>
      <c r="K965" s="1"/>
      <c r="P965" s="1"/>
    </row>
    <row r="966">
      <c r="F966" s="1"/>
      <c r="K966" s="1"/>
      <c r="P966" s="1"/>
    </row>
    <row r="967">
      <c r="F967" s="1"/>
      <c r="K967" s="1"/>
      <c r="P967" s="1"/>
    </row>
    <row r="968">
      <c r="F968" s="1"/>
      <c r="K968" s="1"/>
      <c r="P968" s="1"/>
    </row>
    <row r="969">
      <c r="F969" s="1"/>
      <c r="K969" s="1"/>
      <c r="P969" s="1"/>
    </row>
    <row r="970">
      <c r="F970" s="1"/>
      <c r="K970" s="1"/>
      <c r="P970" s="1"/>
    </row>
    <row r="971">
      <c r="F971" s="1"/>
      <c r="K971" s="1"/>
      <c r="P971" s="1"/>
    </row>
    <row r="972">
      <c r="F972" s="1"/>
      <c r="K972" s="1"/>
      <c r="P972" s="1"/>
    </row>
    <row r="973">
      <c r="F973" s="1"/>
      <c r="K973" s="1"/>
      <c r="P973" s="1"/>
    </row>
    <row r="974">
      <c r="F974" s="1"/>
      <c r="K974" s="1"/>
      <c r="P974" s="1"/>
    </row>
    <row r="975">
      <c r="F975" s="1"/>
      <c r="K975" s="1"/>
      <c r="P975" s="1"/>
    </row>
    <row r="976">
      <c r="F976" s="1"/>
      <c r="K976" s="1"/>
      <c r="P976" s="1"/>
    </row>
    <row r="977">
      <c r="F977" s="1"/>
      <c r="K977" s="1"/>
      <c r="P977" s="1"/>
    </row>
    <row r="978">
      <c r="F978" s="1"/>
      <c r="K978" s="1"/>
      <c r="P978" s="1"/>
    </row>
    <row r="979">
      <c r="F979" s="1"/>
      <c r="K979" s="1"/>
      <c r="P979" s="1"/>
    </row>
    <row r="980">
      <c r="F980" s="1"/>
      <c r="K980" s="1"/>
      <c r="P980" s="1"/>
    </row>
    <row r="981">
      <c r="F981" s="1"/>
      <c r="K981" s="1"/>
      <c r="P981" s="1"/>
    </row>
    <row r="982">
      <c r="F982" s="1"/>
      <c r="K982" s="1"/>
      <c r="P982" s="1"/>
    </row>
    <row r="983">
      <c r="F983" s="1"/>
      <c r="K983" s="1"/>
      <c r="P983" s="1"/>
    </row>
    <row r="984">
      <c r="F984" s="1"/>
      <c r="K984" s="1"/>
      <c r="P984" s="1"/>
    </row>
    <row r="985">
      <c r="F985" s="1"/>
      <c r="K985" s="1"/>
      <c r="P985" s="1"/>
    </row>
    <row r="986">
      <c r="F986" s="1"/>
      <c r="K986" s="1"/>
      <c r="P986" s="1"/>
    </row>
    <row r="987">
      <c r="F987" s="1"/>
      <c r="K987" s="1"/>
      <c r="P987" s="1"/>
    </row>
    <row r="988">
      <c r="F988" s="1"/>
      <c r="K988" s="1"/>
      <c r="P988" s="1"/>
    </row>
    <row r="989">
      <c r="F989" s="1"/>
      <c r="K989" s="1"/>
      <c r="P989" s="1"/>
    </row>
    <row r="990">
      <c r="F990" s="1"/>
      <c r="K990" s="1"/>
      <c r="P990" s="1"/>
    </row>
    <row r="991">
      <c r="F991" s="1"/>
      <c r="K991" s="1"/>
      <c r="P991" s="1"/>
    </row>
    <row r="992">
      <c r="F992" s="1"/>
      <c r="K992" s="1"/>
      <c r="P992" s="1"/>
    </row>
    <row r="993">
      <c r="F993" s="1"/>
      <c r="K993" s="1"/>
      <c r="P993" s="1"/>
    </row>
    <row r="994">
      <c r="F994" s="1"/>
      <c r="K994" s="1"/>
      <c r="P994" s="1"/>
    </row>
    <row r="995">
      <c r="F995" s="1"/>
      <c r="K995" s="1"/>
      <c r="P995" s="1"/>
    </row>
    <row r="996">
      <c r="F996" s="1"/>
      <c r="K996" s="1"/>
      <c r="P996" s="1"/>
    </row>
    <row r="997">
      <c r="F997" s="1"/>
      <c r="K997" s="1"/>
      <c r="P997" s="1"/>
    </row>
    <row r="998">
      <c r="F998" s="1"/>
      <c r="K998" s="1"/>
      <c r="P998" s="1"/>
    </row>
    <row r="999">
      <c r="F999" s="1"/>
      <c r="K999" s="1"/>
      <c r="P999" s="1"/>
    </row>
    <row r="1000">
      <c r="F1000" s="1"/>
      <c r="K1000" s="1"/>
      <c r="P1000" s="1"/>
    </row>
    <row r="1001">
      <c r="F1001" s="1"/>
      <c r="K1001" s="1"/>
      <c r="P1001" s="1"/>
    </row>
    <row r="1002">
      <c r="F1002" s="1"/>
      <c r="K1002" s="1"/>
      <c r="P1002" s="1"/>
    </row>
  </sheetData>
  <mergeCells count="4">
    <mergeCell ref="D3:H3"/>
    <mergeCell ref="I3:M3"/>
    <mergeCell ref="N3:R3"/>
    <mergeCell ref="B5:B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1" t="s">
        <v>74</v>
      </c>
      <c r="B1" s="71" t="s">
        <v>75</v>
      </c>
      <c r="C1" s="71" t="s">
        <v>76</v>
      </c>
      <c r="D1" s="71" t="s">
        <v>77</v>
      </c>
      <c r="E1" s="71" t="s">
        <v>78</v>
      </c>
      <c r="F1" s="71" t="s">
        <v>79</v>
      </c>
      <c r="G1" s="72"/>
      <c r="H1" s="72"/>
    </row>
    <row r="2">
      <c r="A2" s="73" t="s">
        <v>80</v>
      </c>
      <c r="B2" s="74" t="s">
        <v>81</v>
      </c>
      <c r="C2" s="74" t="s">
        <v>82</v>
      </c>
      <c r="D2" s="74" t="s">
        <v>82</v>
      </c>
      <c r="E2" s="73" t="s">
        <v>83</v>
      </c>
      <c r="F2" s="73" t="s">
        <v>84</v>
      </c>
      <c r="G2" s="72"/>
      <c r="H2" s="72"/>
    </row>
    <row r="3">
      <c r="A3" s="73" t="s">
        <v>85</v>
      </c>
      <c r="B3" s="74" t="s">
        <v>86</v>
      </c>
      <c r="C3" s="74" t="s">
        <v>87</v>
      </c>
      <c r="D3" s="74" t="s">
        <v>87</v>
      </c>
      <c r="E3" s="73" t="s">
        <v>83</v>
      </c>
      <c r="F3" s="73" t="s">
        <v>84</v>
      </c>
      <c r="G3" s="72"/>
      <c r="H3" s="72"/>
    </row>
    <row r="4">
      <c r="A4" s="73" t="s">
        <v>88</v>
      </c>
      <c r="B4" s="74" t="s">
        <v>89</v>
      </c>
      <c r="C4" s="74" t="s">
        <v>90</v>
      </c>
      <c r="D4" s="74" t="s">
        <v>91</v>
      </c>
      <c r="E4" s="73" t="s">
        <v>92</v>
      </c>
      <c r="F4" s="73" t="s">
        <v>84</v>
      </c>
      <c r="G4" s="72"/>
      <c r="H4" s="72"/>
    </row>
    <row r="5">
      <c r="A5" s="73" t="s">
        <v>93</v>
      </c>
      <c r="B5" s="74" t="s">
        <v>94</v>
      </c>
      <c r="C5" s="74" t="s">
        <v>95</v>
      </c>
      <c r="D5" s="74" t="s">
        <v>95</v>
      </c>
      <c r="E5" s="73" t="s">
        <v>83</v>
      </c>
      <c r="F5" s="73" t="s">
        <v>84</v>
      </c>
      <c r="G5" s="72"/>
      <c r="H5" s="72"/>
    </row>
    <row r="6">
      <c r="A6" s="73" t="s">
        <v>96</v>
      </c>
      <c r="B6" s="74" t="s">
        <v>97</v>
      </c>
      <c r="C6" s="74" t="s">
        <v>98</v>
      </c>
      <c r="D6" s="74" t="s">
        <v>98</v>
      </c>
      <c r="E6" s="73" t="s">
        <v>83</v>
      </c>
      <c r="F6" s="73" t="s">
        <v>84</v>
      </c>
      <c r="G6" s="72"/>
      <c r="H6" s="72"/>
    </row>
    <row r="7">
      <c r="A7" s="73" t="s">
        <v>99</v>
      </c>
      <c r="B7" s="74" t="s">
        <v>100</v>
      </c>
      <c r="C7" s="74" t="s">
        <v>101</v>
      </c>
      <c r="D7" s="74" t="s">
        <v>102</v>
      </c>
      <c r="E7" s="73" t="s">
        <v>83</v>
      </c>
      <c r="F7" s="73" t="s">
        <v>84</v>
      </c>
      <c r="G7" s="72"/>
      <c r="H7" s="72"/>
    </row>
    <row r="8">
      <c r="A8" s="73" t="s">
        <v>103</v>
      </c>
      <c r="B8" s="74" t="s">
        <v>104</v>
      </c>
      <c r="C8" s="74" t="s">
        <v>105</v>
      </c>
      <c r="D8" s="74" t="s">
        <v>106</v>
      </c>
      <c r="E8" s="73" t="s">
        <v>92</v>
      </c>
      <c r="F8" s="73" t="s">
        <v>84</v>
      </c>
      <c r="G8" s="72"/>
      <c r="H8" s="72"/>
    </row>
    <row r="9">
      <c r="A9" s="73" t="s">
        <v>107</v>
      </c>
      <c r="B9" s="74" t="s">
        <v>108</v>
      </c>
      <c r="C9" s="74" t="s">
        <v>109</v>
      </c>
      <c r="D9" s="74" t="s">
        <v>110</v>
      </c>
      <c r="E9" s="73" t="s">
        <v>92</v>
      </c>
      <c r="F9" s="73" t="s">
        <v>84</v>
      </c>
      <c r="G9" s="72"/>
      <c r="H9" s="72"/>
    </row>
    <row r="10">
      <c r="A10" s="73" t="s">
        <v>111</v>
      </c>
      <c r="B10" s="74" t="s">
        <v>112</v>
      </c>
      <c r="C10" s="74" t="s">
        <v>113</v>
      </c>
      <c r="D10" s="74" t="s">
        <v>114</v>
      </c>
      <c r="E10" s="73" t="s">
        <v>92</v>
      </c>
      <c r="F10" s="73" t="s">
        <v>84</v>
      </c>
      <c r="G10" s="72"/>
      <c r="H10" s="72"/>
    </row>
    <row r="11">
      <c r="A11" s="73" t="s">
        <v>115</v>
      </c>
      <c r="B11" s="74" t="s">
        <v>116</v>
      </c>
      <c r="C11" s="74" t="s">
        <v>117</v>
      </c>
      <c r="D11" s="74" t="s">
        <v>118</v>
      </c>
      <c r="E11" s="73" t="s">
        <v>92</v>
      </c>
      <c r="F11" s="73" t="s">
        <v>84</v>
      </c>
      <c r="G11" s="72"/>
      <c r="H11" s="72"/>
    </row>
    <row r="12">
      <c r="A12" s="73" t="s">
        <v>119</v>
      </c>
      <c r="B12" s="74" t="s">
        <v>120</v>
      </c>
      <c r="C12" s="74" t="s">
        <v>121</v>
      </c>
      <c r="D12" s="74" t="s">
        <v>122</v>
      </c>
      <c r="E12" s="73" t="s">
        <v>92</v>
      </c>
      <c r="F12" s="73" t="s">
        <v>84</v>
      </c>
      <c r="G12" s="72"/>
      <c r="H12" s="72"/>
    </row>
    <row r="13">
      <c r="A13" s="73" t="s">
        <v>123</v>
      </c>
      <c r="B13" s="74" t="s">
        <v>124</v>
      </c>
      <c r="C13" s="74" t="s">
        <v>125</v>
      </c>
      <c r="D13" s="74" t="s">
        <v>126</v>
      </c>
      <c r="E13" s="73" t="s">
        <v>83</v>
      </c>
      <c r="F13" s="73" t="s">
        <v>84</v>
      </c>
      <c r="G13" s="72"/>
      <c r="H13" s="72"/>
    </row>
    <row r="14">
      <c r="A14" s="73" t="s">
        <v>127</v>
      </c>
      <c r="B14" s="74" t="s">
        <v>128</v>
      </c>
      <c r="C14" s="74" t="s">
        <v>129</v>
      </c>
      <c r="D14" s="74" t="s">
        <v>130</v>
      </c>
      <c r="E14" s="73" t="s">
        <v>92</v>
      </c>
      <c r="F14" s="73" t="s">
        <v>84</v>
      </c>
      <c r="G14" s="72"/>
      <c r="H14" s="72"/>
    </row>
    <row r="15">
      <c r="A15" s="73" t="s">
        <v>131</v>
      </c>
      <c r="B15" s="74" t="s">
        <v>132</v>
      </c>
      <c r="C15" s="74" t="s">
        <v>133</v>
      </c>
      <c r="D15" s="74" t="s">
        <v>134</v>
      </c>
      <c r="E15" s="73" t="s">
        <v>83</v>
      </c>
      <c r="F15" s="73" t="s">
        <v>135</v>
      </c>
      <c r="G15" s="72"/>
      <c r="H15" s="72"/>
    </row>
    <row r="16">
      <c r="A16" s="73" t="s">
        <v>136</v>
      </c>
      <c r="B16" s="74" t="s">
        <v>137</v>
      </c>
      <c r="C16" s="74" t="s">
        <v>138</v>
      </c>
      <c r="D16" s="74" t="s">
        <v>139</v>
      </c>
      <c r="E16" s="73" t="s">
        <v>83</v>
      </c>
      <c r="F16" s="73" t="s">
        <v>84</v>
      </c>
      <c r="G16" s="73" t="s">
        <v>140</v>
      </c>
      <c r="H16" s="72"/>
    </row>
    <row r="17">
      <c r="A17" s="73" t="s">
        <v>141</v>
      </c>
      <c r="B17" s="74" t="s">
        <v>142</v>
      </c>
      <c r="C17" s="74" t="s">
        <v>143</v>
      </c>
      <c r="D17" s="74" t="s">
        <v>144</v>
      </c>
      <c r="E17" s="73" t="s">
        <v>83</v>
      </c>
      <c r="F17" s="73" t="s">
        <v>84</v>
      </c>
      <c r="G17" s="72"/>
      <c r="H17" s="72"/>
    </row>
    <row r="18">
      <c r="A18" s="73" t="s">
        <v>145</v>
      </c>
      <c r="B18" s="74" t="s">
        <v>146</v>
      </c>
      <c r="C18" s="74" t="s">
        <v>147</v>
      </c>
      <c r="D18" s="74" t="s">
        <v>147</v>
      </c>
      <c r="E18" s="73" t="s">
        <v>83</v>
      </c>
      <c r="F18" s="73" t="s">
        <v>84</v>
      </c>
      <c r="G18" s="72"/>
      <c r="H18" s="72"/>
    </row>
    <row r="19">
      <c r="A19" s="73" t="s">
        <v>148</v>
      </c>
      <c r="B19" s="74" t="s">
        <v>149</v>
      </c>
      <c r="C19" s="74" t="s">
        <v>150</v>
      </c>
      <c r="D19" s="74" t="s">
        <v>151</v>
      </c>
      <c r="E19" s="73" t="s">
        <v>83</v>
      </c>
      <c r="F19" s="73" t="s">
        <v>84</v>
      </c>
      <c r="G19" s="72"/>
      <c r="H19" s="72"/>
    </row>
    <row r="20">
      <c r="A20" s="73" t="s">
        <v>152</v>
      </c>
      <c r="B20" s="74" t="s">
        <v>153</v>
      </c>
      <c r="C20" s="74" t="s">
        <v>154</v>
      </c>
      <c r="D20" s="74" t="s">
        <v>155</v>
      </c>
      <c r="E20" s="73" t="s">
        <v>83</v>
      </c>
      <c r="F20" s="73" t="s">
        <v>84</v>
      </c>
      <c r="G20" s="72"/>
      <c r="H20" s="72"/>
    </row>
    <row r="21">
      <c r="A21" s="73" t="s">
        <v>156</v>
      </c>
      <c r="B21" s="74" t="s">
        <v>157</v>
      </c>
      <c r="C21" s="74" t="s">
        <v>158</v>
      </c>
      <c r="D21" s="74" t="s">
        <v>158</v>
      </c>
      <c r="E21" s="73" t="s">
        <v>83</v>
      </c>
      <c r="F21" s="73" t="s">
        <v>84</v>
      </c>
      <c r="G21" s="72"/>
      <c r="H21" s="72"/>
    </row>
    <row r="22">
      <c r="A22" s="73" t="s">
        <v>159</v>
      </c>
      <c r="B22" s="74" t="s">
        <v>160</v>
      </c>
      <c r="C22" s="74" t="s">
        <v>161</v>
      </c>
      <c r="D22" s="74" t="s">
        <v>161</v>
      </c>
      <c r="E22" s="73" t="s">
        <v>83</v>
      </c>
      <c r="F22" s="73" t="s">
        <v>84</v>
      </c>
      <c r="G22" s="72"/>
      <c r="H22" s="72"/>
    </row>
    <row r="23">
      <c r="A23" s="73" t="s">
        <v>162</v>
      </c>
      <c r="B23" s="74" t="s">
        <v>163</v>
      </c>
      <c r="C23" s="74" t="s">
        <v>164</v>
      </c>
      <c r="D23" s="74" t="s">
        <v>165</v>
      </c>
      <c r="E23" s="73" t="s">
        <v>92</v>
      </c>
      <c r="F23" s="73" t="s">
        <v>84</v>
      </c>
      <c r="G23" s="72"/>
      <c r="H23" s="72"/>
    </row>
    <row r="24">
      <c r="A24" s="73" t="s">
        <v>166</v>
      </c>
      <c r="B24" s="74" t="s">
        <v>167</v>
      </c>
      <c r="C24" s="74" t="s">
        <v>168</v>
      </c>
      <c r="D24" s="74" t="s">
        <v>168</v>
      </c>
      <c r="E24" s="73" t="s">
        <v>83</v>
      </c>
      <c r="F24" s="73" t="s">
        <v>84</v>
      </c>
      <c r="G24" s="72"/>
      <c r="H24" s="72"/>
    </row>
    <row r="25">
      <c r="A25" s="73" t="s">
        <v>169</v>
      </c>
      <c r="B25" s="74" t="s">
        <v>170</v>
      </c>
      <c r="C25" s="74" t="s">
        <v>171</v>
      </c>
      <c r="D25" s="74" t="s">
        <v>172</v>
      </c>
      <c r="E25" s="73" t="s">
        <v>92</v>
      </c>
      <c r="F25" s="73" t="s">
        <v>84</v>
      </c>
      <c r="G25" s="72"/>
      <c r="H25" s="72"/>
    </row>
    <row r="26">
      <c r="A26" s="73" t="s">
        <v>173</v>
      </c>
      <c r="B26" s="74" t="s">
        <v>174</v>
      </c>
      <c r="C26" s="74" t="s">
        <v>175</v>
      </c>
      <c r="D26" s="74" t="s">
        <v>175</v>
      </c>
      <c r="E26" s="73" t="s">
        <v>83</v>
      </c>
      <c r="F26" s="73" t="s">
        <v>84</v>
      </c>
      <c r="G26" s="72"/>
      <c r="H26" s="72"/>
    </row>
    <row r="27">
      <c r="A27" s="73" t="s">
        <v>176</v>
      </c>
      <c r="B27" s="74" t="s">
        <v>177</v>
      </c>
      <c r="C27" s="74" t="s">
        <v>178</v>
      </c>
      <c r="D27" s="74" t="s">
        <v>179</v>
      </c>
      <c r="E27" s="73" t="s">
        <v>92</v>
      </c>
      <c r="F27" s="73" t="s">
        <v>84</v>
      </c>
      <c r="G27" s="72"/>
      <c r="H27" s="72"/>
    </row>
    <row r="28">
      <c r="A28" s="73" t="s">
        <v>180</v>
      </c>
      <c r="B28" s="74" t="s">
        <v>181</v>
      </c>
      <c r="C28" s="74" t="s">
        <v>182</v>
      </c>
      <c r="D28" s="74" t="s">
        <v>182</v>
      </c>
      <c r="E28" s="73" t="s">
        <v>83</v>
      </c>
      <c r="F28" s="73" t="s">
        <v>84</v>
      </c>
      <c r="G28" s="72"/>
      <c r="H28" s="72"/>
    </row>
    <row r="29">
      <c r="A29" s="73" t="s">
        <v>183</v>
      </c>
      <c r="B29" s="74" t="s">
        <v>184</v>
      </c>
      <c r="C29" s="74" t="s">
        <v>185</v>
      </c>
      <c r="D29" s="74" t="s">
        <v>186</v>
      </c>
      <c r="E29" s="73" t="s">
        <v>92</v>
      </c>
      <c r="F29" s="73" t="s">
        <v>84</v>
      </c>
      <c r="G29" s="72"/>
      <c r="H29" s="72"/>
    </row>
    <row r="30">
      <c r="A30" s="73" t="s">
        <v>187</v>
      </c>
      <c r="B30" s="74" t="s">
        <v>188</v>
      </c>
      <c r="C30" s="74" t="s">
        <v>189</v>
      </c>
      <c r="D30" s="74" t="s">
        <v>189</v>
      </c>
      <c r="E30" s="73" t="s">
        <v>83</v>
      </c>
      <c r="F30" s="73" t="s">
        <v>84</v>
      </c>
      <c r="G30" s="72"/>
      <c r="H30" s="72"/>
    </row>
    <row r="31">
      <c r="A31" s="73" t="s">
        <v>190</v>
      </c>
      <c r="B31" s="74" t="s">
        <v>191</v>
      </c>
      <c r="C31" s="74" t="s">
        <v>192</v>
      </c>
      <c r="D31" s="74" t="s">
        <v>193</v>
      </c>
      <c r="E31" s="73" t="s">
        <v>92</v>
      </c>
      <c r="F31" s="73" t="s">
        <v>84</v>
      </c>
      <c r="G31" s="72"/>
      <c r="H31" s="72"/>
    </row>
    <row r="32">
      <c r="A32" s="73" t="s">
        <v>194</v>
      </c>
      <c r="B32" s="74" t="s">
        <v>195</v>
      </c>
      <c r="C32" s="74" t="s">
        <v>196</v>
      </c>
      <c r="D32" s="74" t="s">
        <v>196</v>
      </c>
      <c r="E32" s="73" t="s">
        <v>83</v>
      </c>
      <c r="F32" s="73" t="s">
        <v>84</v>
      </c>
      <c r="G32" s="72"/>
      <c r="H32" s="72"/>
    </row>
    <row r="33">
      <c r="A33" s="73" t="s">
        <v>197</v>
      </c>
      <c r="B33" s="74" t="s">
        <v>198</v>
      </c>
      <c r="C33" s="74" t="s">
        <v>199</v>
      </c>
      <c r="D33" s="74" t="s">
        <v>199</v>
      </c>
      <c r="E33" s="73" t="s">
        <v>83</v>
      </c>
      <c r="F33" s="73" t="s">
        <v>84</v>
      </c>
      <c r="G33" s="72"/>
      <c r="H33" s="72"/>
    </row>
    <row r="34">
      <c r="A34" s="73" t="s">
        <v>200</v>
      </c>
      <c r="B34" s="74" t="s">
        <v>201</v>
      </c>
      <c r="C34" s="74" t="s">
        <v>202</v>
      </c>
      <c r="D34" s="74" t="s">
        <v>202</v>
      </c>
      <c r="E34" s="73" t="s">
        <v>83</v>
      </c>
      <c r="F34" s="73" t="s">
        <v>84</v>
      </c>
      <c r="G34" s="72"/>
      <c r="H34" s="72"/>
    </row>
    <row r="35">
      <c r="A35" s="73" t="s">
        <v>203</v>
      </c>
      <c r="B35" s="74" t="s">
        <v>204</v>
      </c>
      <c r="C35" s="74" t="s">
        <v>205</v>
      </c>
      <c r="D35" s="74" t="s">
        <v>206</v>
      </c>
      <c r="E35" s="73" t="s">
        <v>92</v>
      </c>
      <c r="F35" s="73" t="s">
        <v>84</v>
      </c>
      <c r="G35" s="72"/>
      <c r="H35" s="72"/>
    </row>
    <row r="36">
      <c r="A36" s="73" t="s">
        <v>207</v>
      </c>
      <c r="B36" s="74" t="s">
        <v>208</v>
      </c>
      <c r="C36" s="74" t="s">
        <v>209</v>
      </c>
      <c r="D36" s="74" t="s">
        <v>209</v>
      </c>
      <c r="E36" s="73" t="s">
        <v>83</v>
      </c>
      <c r="F36" s="73" t="s">
        <v>84</v>
      </c>
      <c r="G36" s="72"/>
      <c r="H36" s="72"/>
    </row>
    <row r="37">
      <c r="A37" s="73" t="s">
        <v>210</v>
      </c>
      <c r="B37" s="74" t="s">
        <v>211</v>
      </c>
      <c r="C37" s="74" t="s">
        <v>212</v>
      </c>
      <c r="D37" s="74" t="s">
        <v>213</v>
      </c>
      <c r="E37" s="73" t="s">
        <v>92</v>
      </c>
      <c r="F37" s="73" t="s">
        <v>84</v>
      </c>
      <c r="G37" s="72"/>
      <c r="H37" s="72"/>
    </row>
    <row r="38">
      <c r="A38" s="73" t="s">
        <v>214</v>
      </c>
      <c r="B38" s="74" t="s">
        <v>215</v>
      </c>
      <c r="C38" s="74" t="s">
        <v>216</v>
      </c>
      <c r="D38" s="74" t="s">
        <v>217</v>
      </c>
      <c r="E38" s="73" t="s">
        <v>92</v>
      </c>
      <c r="F38" s="73" t="s">
        <v>84</v>
      </c>
      <c r="G38" s="72"/>
      <c r="H38" s="72"/>
    </row>
    <row r="39">
      <c r="A39" s="73" t="s">
        <v>218</v>
      </c>
      <c r="B39" s="74" t="s">
        <v>219</v>
      </c>
      <c r="C39" s="74" t="s">
        <v>220</v>
      </c>
      <c r="D39" s="74" t="s">
        <v>221</v>
      </c>
      <c r="E39" s="73" t="s">
        <v>83</v>
      </c>
      <c r="F39" s="73" t="s">
        <v>135</v>
      </c>
      <c r="G39" s="72"/>
      <c r="H39" s="72"/>
    </row>
    <row r="40">
      <c r="A40" s="73" t="s">
        <v>222</v>
      </c>
      <c r="B40" s="74" t="s">
        <v>223</v>
      </c>
      <c r="C40" s="74" t="s">
        <v>224</v>
      </c>
      <c r="D40" s="74" t="s">
        <v>225</v>
      </c>
      <c r="E40" s="73" t="s">
        <v>92</v>
      </c>
      <c r="F40" s="73" t="s">
        <v>84</v>
      </c>
      <c r="G40" s="72"/>
      <c r="H40" s="72"/>
    </row>
    <row r="41">
      <c r="A41" s="73" t="s">
        <v>226</v>
      </c>
      <c r="B41" s="74" t="s">
        <v>227</v>
      </c>
      <c r="C41" s="74" t="s">
        <v>228</v>
      </c>
      <c r="D41" s="74" t="s">
        <v>228</v>
      </c>
      <c r="E41" s="73" t="s">
        <v>83</v>
      </c>
      <c r="F41" s="73" t="s">
        <v>84</v>
      </c>
      <c r="G41" s="72"/>
      <c r="H41" s="72"/>
    </row>
    <row r="42">
      <c r="A42" s="73" t="s">
        <v>229</v>
      </c>
      <c r="B42" s="74" t="s">
        <v>230</v>
      </c>
      <c r="C42" s="74" t="s">
        <v>231</v>
      </c>
      <c r="D42" s="74" t="s">
        <v>232</v>
      </c>
      <c r="E42" s="73" t="s">
        <v>92</v>
      </c>
      <c r="F42" s="73" t="s">
        <v>84</v>
      </c>
      <c r="G42" s="72"/>
      <c r="H42" s="72"/>
    </row>
    <row r="43">
      <c r="A43" s="73" t="s">
        <v>233</v>
      </c>
      <c r="B43" s="74" t="s">
        <v>234</v>
      </c>
      <c r="C43" s="74" t="s">
        <v>235</v>
      </c>
      <c r="D43" s="74" t="s">
        <v>101</v>
      </c>
      <c r="E43" s="73" t="s">
        <v>92</v>
      </c>
      <c r="F43" s="73" t="s">
        <v>84</v>
      </c>
      <c r="G43" s="72"/>
      <c r="H43" s="72"/>
    </row>
    <row r="44">
      <c r="A44" s="73" t="s">
        <v>236</v>
      </c>
      <c r="B44" s="74" t="s">
        <v>237</v>
      </c>
      <c r="C44" s="74" t="s">
        <v>238</v>
      </c>
      <c r="D44" s="74" t="s">
        <v>238</v>
      </c>
      <c r="E44" s="73" t="s">
        <v>83</v>
      </c>
      <c r="F44" s="73" t="s">
        <v>84</v>
      </c>
      <c r="G44" s="72"/>
      <c r="H44" s="72"/>
    </row>
    <row r="45">
      <c r="A45" s="73" t="s">
        <v>239</v>
      </c>
      <c r="B45" s="74" t="s">
        <v>240</v>
      </c>
      <c r="C45" s="74" t="s">
        <v>241</v>
      </c>
      <c r="D45" s="74" t="s">
        <v>241</v>
      </c>
      <c r="E45" s="73" t="s">
        <v>83</v>
      </c>
      <c r="F45" s="73" t="s">
        <v>84</v>
      </c>
      <c r="G45" s="72"/>
      <c r="H45" s="72"/>
    </row>
    <row r="46">
      <c r="A46" s="73" t="s">
        <v>242</v>
      </c>
      <c r="B46" s="74" t="s">
        <v>243</v>
      </c>
      <c r="C46" s="74" t="s">
        <v>244</v>
      </c>
      <c r="D46" s="74" t="s">
        <v>245</v>
      </c>
      <c r="E46" s="73" t="s">
        <v>83</v>
      </c>
      <c r="F46" s="73" t="s">
        <v>135</v>
      </c>
      <c r="G46" s="72"/>
      <c r="H46" s="73"/>
    </row>
    <row r="47">
      <c r="A47" s="73" t="s">
        <v>246</v>
      </c>
      <c r="B47" s="74" t="s">
        <v>247</v>
      </c>
      <c r="C47" s="74" t="s">
        <v>248</v>
      </c>
      <c r="D47" s="74" t="s">
        <v>248</v>
      </c>
      <c r="E47" s="73" t="s">
        <v>83</v>
      </c>
      <c r="F47" s="73" t="s">
        <v>84</v>
      </c>
      <c r="G47" s="72"/>
      <c r="H47" s="72"/>
    </row>
    <row r="48">
      <c r="A48" s="73" t="s">
        <v>249</v>
      </c>
      <c r="B48" s="74" t="s">
        <v>250</v>
      </c>
      <c r="C48" s="74" t="s">
        <v>251</v>
      </c>
      <c r="D48" s="74" t="s">
        <v>251</v>
      </c>
      <c r="E48" s="73" t="s">
        <v>83</v>
      </c>
      <c r="F48" s="73" t="s">
        <v>84</v>
      </c>
      <c r="G48" s="72"/>
      <c r="H48" s="72"/>
    </row>
    <row r="49">
      <c r="A49" s="73" t="s">
        <v>252</v>
      </c>
      <c r="B49" s="74" t="s">
        <v>253</v>
      </c>
      <c r="C49" s="74" t="s">
        <v>254</v>
      </c>
      <c r="D49" s="74" t="s">
        <v>255</v>
      </c>
      <c r="E49" s="73" t="s">
        <v>92</v>
      </c>
      <c r="F49" s="73" t="s">
        <v>84</v>
      </c>
      <c r="G49" s="72"/>
      <c r="H49" s="72"/>
    </row>
    <row r="50">
      <c r="A50" s="73" t="s">
        <v>256</v>
      </c>
      <c r="B50" s="74" t="s">
        <v>257</v>
      </c>
      <c r="C50" s="74" t="s">
        <v>258</v>
      </c>
      <c r="D50" s="74" t="s">
        <v>259</v>
      </c>
      <c r="E50" s="73" t="s">
        <v>83</v>
      </c>
      <c r="F50" s="73" t="s">
        <v>84</v>
      </c>
      <c r="G50" s="72"/>
      <c r="H50" s="72"/>
    </row>
    <row r="51">
      <c r="A51" s="73" t="s">
        <v>260</v>
      </c>
      <c r="B51" s="74" t="s">
        <v>261</v>
      </c>
      <c r="C51" s="74" t="s">
        <v>262</v>
      </c>
      <c r="D51" s="74" t="s">
        <v>263</v>
      </c>
      <c r="E51" s="73" t="s">
        <v>83</v>
      </c>
      <c r="F51" s="73" t="s">
        <v>135</v>
      </c>
      <c r="G51" s="72"/>
      <c r="H51" s="72"/>
    </row>
    <row r="52">
      <c r="A52" s="73" t="s">
        <v>264</v>
      </c>
      <c r="B52" s="74" t="s">
        <v>265</v>
      </c>
      <c r="C52" s="74" t="s">
        <v>266</v>
      </c>
      <c r="D52" s="74" t="s">
        <v>266</v>
      </c>
      <c r="E52" s="73" t="s">
        <v>83</v>
      </c>
      <c r="F52" s="73" t="s">
        <v>84</v>
      </c>
      <c r="G52" s="72"/>
      <c r="H52" s="72"/>
    </row>
    <row r="53">
      <c r="A53" s="73" t="s">
        <v>267</v>
      </c>
      <c r="B53" s="74" t="s">
        <v>268</v>
      </c>
      <c r="C53" s="74" t="s">
        <v>269</v>
      </c>
      <c r="D53" s="74" t="s">
        <v>270</v>
      </c>
      <c r="E53" s="73" t="s">
        <v>92</v>
      </c>
      <c r="F53" s="73" t="s">
        <v>84</v>
      </c>
      <c r="G53" s="72"/>
      <c r="H53" s="72"/>
    </row>
    <row r="54">
      <c r="A54" s="73" t="s">
        <v>271</v>
      </c>
      <c r="B54" s="74" t="s">
        <v>272</v>
      </c>
      <c r="C54" s="74" t="s">
        <v>202</v>
      </c>
      <c r="D54" s="74" t="s">
        <v>202</v>
      </c>
      <c r="E54" s="73" t="s">
        <v>83</v>
      </c>
      <c r="F54" s="73" t="s">
        <v>84</v>
      </c>
      <c r="G54" s="72"/>
      <c r="H54" s="72"/>
    </row>
    <row r="55">
      <c r="A55" s="73" t="s">
        <v>273</v>
      </c>
      <c r="B55" s="74" t="s">
        <v>274</v>
      </c>
      <c r="C55" s="74" t="s">
        <v>275</v>
      </c>
      <c r="D55" s="74" t="s">
        <v>276</v>
      </c>
      <c r="E55" s="73" t="s">
        <v>83</v>
      </c>
      <c r="F55" s="73" t="s">
        <v>84</v>
      </c>
      <c r="G55" s="72"/>
      <c r="H55" s="72"/>
    </row>
    <row r="56">
      <c r="A56" s="73" t="s">
        <v>277</v>
      </c>
      <c r="B56" s="74" t="s">
        <v>278</v>
      </c>
      <c r="C56" s="74" t="s">
        <v>279</v>
      </c>
      <c r="D56" s="74" t="s">
        <v>280</v>
      </c>
      <c r="E56" s="73" t="s">
        <v>92</v>
      </c>
      <c r="F56" s="73" t="s">
        <v>84</v>
      </c>
      <c r="G56" s="72"/>
      <c r="H56" s="72"/>
    </row>
    <row r="57">
      <c r="A57" s="73" t="s">
        <v>281</v>
      </c>
      <c r="B57" s="74" t="s">
        <v>282</v>
      </c>
      <c r="C57" s="74" t="s">
        <v>283</v>
      </c>
      <c r="D57" s="74" t="s">
        <v>283</v>
      </c>
      <c r="E57" s="73" t="s">
        <v>83</v>
      </c>
      <c r="F57" s="73" t="s">
        <v>84</v>
      </c>
      <c r="G57" s="72"/>
      <c r="H57" s="72"/>
    </row>
    <row r="58">
      <c r="A58" s="73" t="s">
        <v>284</v>
      </c>
      <c r="B58" s="74" t="s">
        <v>285</v>
      </c>
      <c r="C58" s="74" t="s">
        <v>286</v>
      </c>
      <c r="D58" s="74" t="s">
        <v>287</v>
      </c>
      <c r="E58" s="73" t="s">
        <v>83</v>
      </c>
      <c r="F58" s="73" t="s">
        <v>135</v>
      </c>
      <c r="G58" s="72"/>
      <c r="H58" s="72"/>
    </row>
    <row r="59">
      <c r="A59" s="73" t="s">
        <v>288</v>
      </c>
      <c r="B59" s="74" t="s">
        <v>289</v>
      </c>
      <c r="C59" s="74" t="s">
        <v>290</v>
      </c>
      <c r="D59" s="74" t="s">
        <v>291</v>
      </c>
      <c r="E59" s="73" t="s">
        <v>83</v>
      </c>
      <c r="F59" s="73" t="s">
        <v>84</v>
      </c>
      <c r="G59" s="72"/>
      <c r="H59" s="72"/>
    </row>
    <row r="60">
      <c r="A60" s="73" t="s">
        <v>292</v>
      </c>
      <c r="B60" s="74" t="s">
        <v>293</v>
      </c>
      <c r="C60" s="74" t="s">
        <v>182</v>
      </c>
      <c r="D60" s="74" t="s">
        <v>182</v>
      </c>
      <c r="E60" s="73" t="s">
        <v>83</v>
      </c>
      <c r="F60" s="73" t="s">
        <v>84</v>
      </c>
      <c r="G60" s="72"/>
      <c r="H60" s="72"/>
    </row>
    <row r="61">
      <c r="A61" s="73" t="s">
        <v>294</v>
      </c>
      <c r="B61" s="74" t="s">
        <v>295</v>
      </c>
      <c r="C61" s="74" t="s">
        <v>296</v>
      </c>
      <c r="D61" s="74" t="s">
        <v>297</v>
      </c>
      <c r="E61" s="73" t="s">
        <v>92</v>
      </c>
      <c r="F61" s="73" t="s">
        <v>84</v>
      </c>
      <c r="G61" s="72"/>
      <c r="H61" s="72"/>
    </row>
    <row r="62">
      <c r="A62" s="73" t="s">
        <v>298</v>
      </c>
      <c r="B62" s="74" t="s">
        <v>299</v>
      </c>
      <c r="C62" s="74" t="s">
        <v>300</v>
      </c>
      <c r="D62" s="74" t="s">
        <v>300</v>
      </c>
      <c r="E62" s="73" t="s">
        <v>83</v>
      </c>
      <c r="F62" s="73" t="s">
        <v>84</v>
      </c>
      <c r="G62" s="72"/>
      <c r="H62" s="72"/>
    </row>
    <row r="63">
      <c r="A63" s="73" t="s">
        <v>301</v>
      </c>
      <c r="B63" s="74" t="s">
        <v>302</v>
      </c>
      <c r="C63" s="74" t="s">
        <v>98</v>
      </c>
      <c r="D63" s="74" t="s">
        <v>98</v>
      </c>
      <c r="E63" s="73" t="s">
        <v>83</v>
      </c>
      <c r="F63" s="73" t="s">
        <v>84</v>
      </c>
      <c r="G63" s="72"/>
      <c r="H63" s="72"/>
    </row>
    <row r="64">
      <c r="A64" s="73" t="s">
        <v>303</v>
      </c>
      <c r="B64" s="74" t="s">
        <v>304</v>
      </c>
      <c r="C64" s="74" t="s">
        <v>305</v>
      </c>
      <c r="D64" s="74" t="s">
        <v>305</v>
      </c>
      <c r="E64" s="73" t="s">
        <v>83</v>
      </c>
      <c r="F64" s="73" t="s">
        <v>84</v>
      </c>
      <c r="G64" s="72"/>
      <c r="H64" s="72"/>
    </row>
    <row r="65">
      <c r="A65" s="73" t="s">
        <v>306</v>
      </c>
      <c r="B65" s="74" t="s">
        <v>307</v>
      </c>
      <c r="C65" s="74">
        <v>2001.0</v>
      </c>
      <c r="D65" s="74">
        <v>2004.0</v>
      </c>
      <c r="E65" s="73" t="s">
        <v>92</v>
      </c>
      <c r="F65" s="73" t="s">
        <v>84</v>
      </c>
      <c r="G65" s="72"/>
      <c r="H65" s="72"/>
    </row>
    <row r="66">
      <c r="A66" s="73" t="s">
        <v>308</v>
      </c>
      <c r="B66" s="74" t="s">
        <v>309</v>
      </c>
      <c r="C66" s="74" t="s">
        <v>310</v>
      </c>
      <c r="D66" s="74" t="s">
        <v>311</v>
      </c>
      <c r="E66" s="73" t="s">
        <v>83</v>
      </c>
      <c r="F66" s="73" t="s">
        <v>84</v>
      </c>
      <c r="G66" s="72"/>
      <c r="H66" s="72"/>
    </row>
    <row r="67">
      <c r="A67" s="73" t="s">
        <v>312</v>
      </c>
      <c r="B67" s="74" t="s">
        <v>313</v>
      </c>
      <c r="C67" s="74" t="s">
        <v>314</v>
      </c>
      <c r="D67" s="74" t="s">
        <v>315</v>
      </c>
      <c r="E67" s="73" t="s">
        <v>83</v>
      </c>
      <c r="F67" s="73" t="s">
        <v>84</v>
      </c>
      <c r="G67" s="72"/>
      <c r="H67" s="72"/>
    </row>
    <row r="68">
      <c r="A68" s="73" t="s">
        <v>316</v>
      </c>
      <c r="B68" s="74" t="s">
        <v>317</v>
      </c>
      <c r="C68" s="74" t="s">
        <v>318</v>
      </c>
      <c r="D68" s="74" t="s">
        <v>319</v>
      </c>
      <c r="E68" s="73" t="s">
        <v>92</v>
      </c>
      <c r="F68" s="73" t="s">
        <v>84</v>
      </c>
      <c r="G68" s="72"/>
      <c r="H68" s="72"/>
    </row>
    <row r="69">
      <c r="A69" s="73" t="s">
        <v>320</v>
      </c>
      <c r="B69" s="74" t="s">
        <v>321</v>
      </c>
      <c r="C69" s="74" t="s">
        <v>322</v>
      </c>
      <c r="D69" s="74" t="s">
        <v>323</v>
      </c>
      <c r="E69" s="73" t="s">
        <v>92</v>
      </c>
      <c r="F69" s="73" t="s">
        <v>84</v>
      </c>
      <c r="G69" s="72"/>
      <c r="H69" s="72"/>
    </row>
    <row r="70">
      <c r="A70" s="73" t="s">
        <v>324</v>
      </c>
      <c r="B70" s="74" t="s">
        <v>325</v>
      </c>
      <c r="C70" s="74" t="s">
        <v>326</v>
      </c>
      <c r="D70" s="74" t="s">
        <v>327</v>
      </c>
      <c r="E70" s="73" t="s">
        <v>92</v>
      </c>
      <c r="F70" s="73" t="s">
        <v>84</v>
      </c>
      <c r="G70" s="72"/>
      <c r="H70" s="72"/>
    </row>
    <row r="71">
      <c r="A71" s="73" t="s">
        <v>328</v>
      </c>
      <c r="B71" s="74" t="s">
        <v>329</v>
      </c>
      <c r="C71" s="74" t="s">
        <v>330</v>
      </c>
      <c r="D71" s="74" t="s">
        <v>331</v>
      </c>
      <c r="E71" s="73" t="s">
        <v>92</v>
      </c>
      <c r="F71" s="73" t="s">
        <v>84</v>
      </c>
      <c r="G71" s="72"/>
      <c r="H71" s="72"/>
    </row>
    <row r="72">
      <c r="A72" s="73" t="s">
        <v>332</v>
      </c>
      <c r="B72" s="74" t="s">
        <v>333</v>
      </c>
      <c r="C72" s="74" t="s">
        <v>334</v>
      </c>
      <c r="D72" s="74" t="s">
        <v>334</v>
      </c>
      <c r="E72" s="73" t="s">
        <v>83</v>
      </c>
      <c r="F72" s="73" t="s">
        <v>84</v>
      </c>
      <c r="G72" s="72"/>
      <c r="H72" s="72"/>
    </row>
    <row r="73">
      <c r="A73" s="73" t="s">
        <v>335</v>
      </c>
      <c r="B73" s="74" t="s">
        <v>336</v>
      </c>
      <c r="C73" s="74" t="s">
        <v>337</v>
      </c>
      <c r="D73" s="74" t="s">
        <v>338</v>
      </c>
      <c r="E73" s="73" t="s">
        <v>92</v>
      </c>
      <c r="F73" s="73" t="s">
        <v>84</v>
      </c>
      <c r="G73" s="72"/>
      <c r="H73" s="72"/>
    </row>
    <row r="74">
      <c r="A74" s="73" t="s">
        <v>339</v>
      </c>
      <c r="B74" s="74" t="s">
        <v>340</v>
      </c>
      <c r="C74" s="74" t="s">
        <v>341</v>
      </c>
      <c r="D74" s="74" t="s">
        <v>342</v>
      </c>
      <c r="E74" s="73" t="s">
        <v>92</v>
      </c>
      <c r="F74" s="73" t="s">
        <v>84</v>
      </c>
      <c r="G74" s="72"/>
      <c r="H74" s="72"/>
    </row>
    <row r="75">
      <c r="A75" s="73" t="s">
        <v>343</v>
      </c>
      <c r="B75" s="74" t="s">
        <v>344</v>
      </c>
      <c r="C75" s="74" t="s">
        <v>345</v>
      </c>
      <c r="D75" s="74" t="s">
        <v>346</v>
      </c>
      <c r="E75" s="73" t="s">
        <v>92</v>
      </c>
      <c r="F75" s="73" t="s">
        <v>84</v>
      </c>
      <c r="G75" s="72"/>
      <c r="H75" s="72"/>
    </row>
    <row r="76">
      <c r="A76" s="73" t="s">
        <v>347</v>
      </c>
      <c r="B76" s="74" t="s">
        <v>348</v>
      </c>
      <c r="C76" s="74" t="s">
        <v>349</v>
      </c>
      <c r="D76" s="74" t="s">
        <v>350</v>
      </c>
      <c r="E76" s="73" t="s">
        <v>92</v>
      </c>
      <c r="F76" s="73" t="s">
        <v>84</v>
      </c>
      <c r="G76" s="72"/>
      <c r="H76" s="72"/>
    </row>
    <row r="77">
      <c r="A77" s="73" t="s">
        <v>351</v>
      </c>
      <c r="B77" s="74" t="s">
        <v>352</v>
      </c>
      <c r="C77" s="74" t="s">
        <v>353</v>
      </c>
      <c r="D77" s="74" t="s">
        <v>354</v>
      </c>
      <c r="E77" s="73" t="s">
        <v>92</v>
      </c>
      <c r="F77" s="73" t="s">
        <v>84</v>
      </c>
      <c r="G77" s="72"/>
      <c r="H77" s="72"/>
    </row>
    <row r="78">
      <c r="A78" s="73" t="s">
        <v>355</v>
      </c>
      <c r="B78" s="74" t="s">
        <v>356</v>
      </c>
      <c r="C78" s="74" t="s">
        <v>251</v>
      </c>
      <c r="D78" s="74" t="s">
        <v>251</v>
      </c>
      <c r="E78" s="73" t="s">
        <v>83</v>
      </c>
      <c r="F78" s="73" t="s">
        <v>84</v>
      </c>
      <c r="G78" s="72"/>
      <c r="H78" s="72"/>
    </row>
    <row r="79">
      <c r="A79" s="73" t="s">
        <v>357</v>
      </c>
      <c r="B79" s="74" t="s">
        <v>358</v>
      </c>
      <c r="C79" s="74" t="s">
        <v>359</v>
      </c>
      <c r="D79" s="74" t="s">
        <v>360</v>
      </c>
      <c r="E79" s="73" t="s">
        <v>92</v>
      </c>
      <c r="F79" s="73" t="s">
        <v>84</v>
      </c>
      <c r="G79" s="72"/>
      <c r="H79" s="72"/>
    </row>
    <row r="80">
      <c r="A80" s="73" t="s">
        <v>361</v>
      </c>
      <c r="B80" s="74" t="s">
        <v>362</v>
      </c>
      <c r="C80" s="74" t="s">
        <v>363</v>
      </c>
      <c r="D80" s="74" t="s">
        <v>364</v>
      </c>
      <c r="E80" s="73" t="s">
        <v>83</v>
      </c>
      <c r="F80" s="73" t="s">
        <v>84</v>
      </c>
      <c r="G80" s="72"/>
      <c r="H80" s="72"/>
    </row>
    <row r="81">
      <c r="A81" s="73" t="s">
        <v>365</v>
      </c>
      <c r="B81" s="74" t="s">
        <v>366</v>
      </c>
      <c r="C81" s="74" t="s">
        <v>367</v>
      </c>
      <c r="D81" s="74" t="s">
        <v>368</v>
      </c>
      <c r="E81" s="73" t="s">
        <v>83</v>
      </c>
      <c r="F81" s="73" t="s">
        <v>84</v>
      </c>
      <c r="G81" s="72"/>
      <c r="H81" s="72"/>
    </row>
    <row r="82">
      <c r="A82" s="73" t="s">
        <v>369</v>
      </c>
      <c r="B82" s="74" t="s">
        <v>370</v>
      </c>
      <c r="C82" s="74" t="s">
        <v>371</v>
      </c>
      <c r="D82" s="74" t="s">
        <v>372</v>
      </c>
      <c r="E82" s="73" t="s">
        <v>92</v>
      </c>
      <c r="F82" s="73" t="s">
        <v>84</v>
      </c>
      <c r="G82" s="72"/>
      <c r="H82" s="72"/>
    </row>
    <row r="83">
      <c r="A83" s="73" t="s">
        <v>373</v>
      </c>
      <c r="B83" s="74" t="s">
        <v>374</v>
      </c>
      <c r="C83" s="74" t="s">
        <v>375</v>
      </c>
      <c r="D83" s="74" t="s">
        <v>376</v>
      </c>
      <c r="E83" s="73" t="s">
        <v>83</v>
      </c>
      <c r="F83" s="73" t="s">
        <v>135</v>
      </c>
      <c r="G83" s="72"/>
      <c r="H83" s="72"/>
    </row>
    <row r="84">
      <c r="A84" s="73" t="s">
        <v>377</v>
      </c>
      <c r="B84" s="74" t="s">
        <v>378</v>
      </c>
      <c r="C84" s="74" t="s">
        <v>379</v>
      </c>
      <c r="D84" s="74" t="s">
        <v>380</v>
      </c>
      <c r="E84" s="73" t="s">
        <v>83</v>
      </c>
      <c r="F84" s="73" t="s">
        <v>84</v>
      </c>
      <c r="G84" s="72"/>
      <c r="H84" s="72"/>
    </row>
    <row r="85">
      <c r="A85" s="73" t="s">
        <v>381</v>
      </c>
      <c r="B85" s="74" t="s">
        <v>382</v>
      </c>
      <c r="C85" s="74" t="s">
        <v>383</v>
      </c>
      <c r="D85" s="74" t="s">
        <v>384</v>
      </c>
      <c r="E85" s="73" t="s">
        <v>92</v>
      </c>
      <c r="F85" s="73" t="s">
        <v>84</v>
      </c>
      <c r="G85" s="72"/>
      <c r="H85" s="72"/>
    </row>
    <row r="86">
      <c r="A86" s="73" t="s">
        <v>385</v>
      </c>
      <c r="B86" s="74" t="s">
        <v>386</v>
      </c>
      <c r="C86" s="74" t="s">
        <v>387</v>
      </c>
      <c r="D86" s="74" t="s">
        <v>388</v>
      </c>
      <c r="E86" s="73" t="s">
        <v>83</v>
      </c>
      <c r="F86" s="73" t="s">
        <v>84</v>
      </c>
      <c r="G86" s="72"/>
      <c r="H86" s="72"/>
    </row>
    <row r="87">
      <c r="A87" s="73" t="s">
        <v>389</v>
      </c>
      <c r="B87" s="74" t="s">
        <v>390</v>
      </c>
      <c r="C87" s="74" t="s">
        <v>391</v>
      </c>
      <c r="D87" s="74" t="s">
        <v>392</v>
      </c>
      <c r="E87" s="73" t="s">
        <v>83</v>
      </c>
      <c r="F87" s="73" t="s">
        <v>84</v>
      </c>
      <c r="G87" s="72"/>
      <c r="H87" s="72"/>
    </row>
    <row r="88">
      <c r="A88" s="73" t="s">
        <v>393</v>
      </c>
      <c r="B88" s="74" t="s">
        <v>394</v>
      </c>
      <c r="C88" s="74" t="s">
        <v>363</v>
      </c>
      <c r="D88" s="74" t="s">
        <v>364</v>
      </c>
      <c r="E88" s="73" t="s">
        <v>83</v>
      </c>
      <c r="F88" s="73" t="s">
        <v>84</v>
      </c>
      <c r="G88" s="72"/>
      <c r="H88" s="72"/>
    </row>
    <row r="89">
      <c r="A89" s="73" t="s">
        <v>395</v>
      </c>
      <c r="B89" s="74" t="s">
        <v>396</v>
      </c>
      <c r="C89" s="74" t="s">
        <v>397</v>
      </c>
      <c r="D89" s="74" t="s">
        <v>398</v>
      </c>
      <c r="E89" s="73" t="s">
        <v>92</v>
      </c>
      <c r="F89" s="73" t="s">
        <v>84</v>
      </c>
      <c r="G89" s="72"/>
      <c r="H89" s="72"/>
    </row>
    <row r="90">
      <c r="A90" s="73" t="s">
        <v>399</v>
      </c>
      <c r="B90" s="74" t="s">
        <v>400</v>
      </c>
      <c r="C90" s="74" t="s">
        <v>401</v>
      </c>
      <c r="D90" s="74" t="s">
        <v>402</v>
      </c>
      <c r="E90" s="73" t="s">
        <v>92</v>
      </c>
      <c r="F90" s="73" t="s">
        <v>84</v>
      </c>
      <c r="G90" s="72"/>
      <c r="H90" s="72"/>
    </row>
    <row r="91">
      <c r="A91" s="73" t="s">
        <v>403</v>
      </c>
      <c r="B91" s="74" t="s">
        <v>404</v>
      </c>
      <c r="C91" s="74" t="s">
        <v>405</v>
      </c>
      <c r="D91" s="74" t="s">
        <v>405</v>
      </c>
      <c r="E91" s="73" t="s">
        <v>83</v>
      </c>
      <c r="F91" s="73" t="s">
        <v>84</v>
      </c>
      <c r="G91" s="72"/>
      <c r="H91" s="72"/>
    </row>
    <row r="92">
      <c r="A92" s="73" t="s">
        <v>406</v>
      </c>
      <c r="B92" s="74" t="s">
        <v>407</v>
      </c>
      <c r="C92" s="74" t="s">
        <v>408</v>
      </c>
      <c r="D92" s="74" t="s">
        <v>408</v>
      </c>
      <c r="E92" s="73" t="s">
        <v>83</v>
      </c>
      <c r="F92" s="73" t="s">
        <v>84</v>
      </c>
      <c r="G92" s="72"/>
      <c r="H92" s="72"/>
    </row>
    <row r="93">
      <c r="A93" s="73" t="s">
        <v>409</v>
      </c>
      <c r="B93" s="74" t="s">
        <v>410</v>
      </c>
      <c r="C93" s="74" t="s">
        <v>411</v>
      </c>
      <c r="D93" s="74" t="s">
        <v>412</v>
      </c>
      <c r="E93" s="73" t="s">
        <v>92</v>
      </c>
      <c r="F93" s="73" t="s">
        <v>84</v>
      </c>
      <c r="G93" s="72"/>
      <c r="H93" s="72"/>
    </row>
    <row r="94">
      <c r="A94" s="73" t="s">
        <v>413</v>
      </c>
      <c r="B94" s="74" t="s">
        <v>414</v>
      </c>
      <c r="C94" s="74" t="s">
        <v>415</v>
      </c>
      <c r="D94" s="74" t="s">
        <v>416</v>
      </c>
      <c r="E94" s="73" t="s">
        <v>92</v>
      </c>
      <c r="F94" s="73" t="s">
        <v>84</v>
      </c>
      <c r="G94" s="72"/>
      <c r="H94" s="72"/>
    </row>
    <row r="95">
      <c r="A95" s="73" t="s">
        <v>417</v>
      </c>
      <c r="B95" s="74" t="s">
        <v>418</v>
      </c>
      <c r="C95" s="74" t="s">
        <v>419</v>
      </c>
      <c r="D95" s="74" t="s">
        <v>420</v>
      </c>
      <c r="E95" s="73" t="s">
        <v>83</v>
      </c>
      <c r="F95" s="73" t="s">
        <v>84</v>
      </c>
      <c r="G95" s="72"/>
      <c r="H95" s="72"/>
    </row>
    <row r="96">
      <c r="A96" s="73" t="s">
        <v>421</v>
      </c>
      <c r="B96" s="74" t="s">
        <v>422</v>
      </c>
      <c r="C96" s="74" t="s">
        <v>423</v>
      </c>
      <c r="D96" s="74" t="s">
        <v>424</v>
      </c>
      <c r="E96" s="73" t="s">
        <v>83</v>
      </c>
      <c r="F96" s="73" t="s">
        <v>84</v>
      </c>
      <c r="G96" s="72"/>
      <c r="H96" s="72"/>
    </row>
    <row r="97">
      <c r="A97" s="73" t="s">
        <v>425</v>
      </c>
      <c r="B97" s="74" t="s">
        <v>426</v>
      </c>
      <c r="C97" s="74" t="s">
        <v>427</v>
      </c>
      <c r="D97" s="74" t="s">
        <v>427</v>
      </c>
      <c r="E97" s="73" t="s">
        <v>83</v>
      </c>
      <c r="F97" s="73" t="s">
        <v>84</v>
      </c>
      <c r="G97" s="72"/>
      <c r="H97" s="72"/>
    </row>
    <row r="98">
      <c r="A98" s="73" t="s">
        <v>428</v>
      </c>
      <c r="B98" s="74" t="s">
        <v>429</v>
      </c>
      <c r="C98" s="74" t="s">
        <v>430</v>
      </c>
      <c r="D98" s="74" t="s">
        <v>110</v>
      </c>
      <c r="E98" s="73" t="s">
        <v>92</v>
      </c>
      <c r="F98" s="73" t="s">
        <v>84</v>
      </c>
      <c r="G98" s="72"/>
      <c r="H98" s="72"/>
    </row>
    <row r="99">
      <c r="A99" s="73" t="s">
        <v>431</v>
      </c>
      <c r="B99" s="74" t="s">
        <v>432</v>
      </c>
      <c r="C99" s="74" t="s">
        <v>433</v>
      </c>
      <c r="D99" s="74" t="s">
        <v>434</v>
      </c>
      <c r="E99" s="73" t="s">
        <v>83</v>
      </c>
      <c r="F99" s="73" t="s">
        <v>84</v>
      </c>
      <c r="G99" s="72"/>
      <c r="H99" s="72"/>
    </row>
    <row r="100">
      <c r="A100" s="73" t="s">
        <v>435</v>
      </c>
      <c r="B100" s="74" t="s">
        <v>436</v>
      </c>
      <c r="C100" s="74" t="s">
        <v>437</v>
      </c>
      <c r="D100" s="74" t="s">
        <v>101</v>
      </c>
      <c r="E100" s="73" t="s">
        <v>83</v>
      </c>
      <c r="F100" s="73" t="s">
        <v>84</v>
      </c>
      <c r="G100" s="72"/>
      <c r="H100" s="72"/>
    </row>
    <row r="101">
      <c r="A101" s="73" t="s">
        <v>438</v>
      </c>
      <c r="B101" s="74" t="s">
        <v>439</v>
      </c>
      <c r="C101" s="74" t="s">
        <v>440</v>
      </c>
      <c r="D101" s="74" t="s">
        <v>441</v>
      </c>
      <c r="E101" s="73" t="s">
        <v>92</v>
      </c>
      <c r="F101" s="73" t="s">
        <v>84</v>
      </c>
      <c r="G101" s="72"/>
      <c r="H101" s="72"/>
    </row>
    <row r="103">
      <c r="E103" s="2" t="s">
        <v>442</v>
      </c>
      <c r="F103" s="43">
        <f>COUNTIF(F2:F101, "Yes")</f>
        <v>94</v>
      </c>
    </row>
    <row r="104">
      <c r="E104" s="2" t="s">
        <v>443</v>
      </c>
      <c r="F104" s="43">
        <f>COUNTIF(F2:F101, "No")</f>
        <v>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0"/>
    <col customWidth="1" min="3" max="3" width="14.13"/>
    <col customWidth="1" min="4" max="4" width="24.38"/>
    <col customWidth="1" min="5" max="8" width="16.88"/>
    <col customWidth="1" min="9" max="9" width="18.25"/>
    <col customWidth="1" min="10" max="10" width="16.38"/>
    <col customWidth="1" min="11" max="11" width="23.88"/>
    <col customWidth="1" min="12" max="12" width="48.88"/>
  </cols>
  <sheetData>
    <row r="1">
      <c r="O1" s="1"/>
      <c r="T1" s="1"/>
      <c r="Y1" s="1"/>
    </row>
    <row r="2">
      <c r="A2" s="3"/>
      <c r="L2" s="2" t="s">
        <v>0</v>
      </c>
      <c r="M2" s="2" t="s">
        <v>444</v>
      </c>
      <c r="O2" s="1"/>
      <c r="T2" s="1"/>
      <c r="Y2" s="1"/>
    </row>
    <row r="3">
      <c r="B3" s="3"/>
      <c r="C3" s="68" t="s">
        <v>61</v>
      </c>
      <c r="D3" s="68" t="s">
        <v>53</v>
      </c>
      <c r="E3" s="68" t="s">
        <v>62</v>
      </c>
      <c r="G3" s="68"/>
      <c r="M3" s="3" t="s">
        <v>2</v>
      </c>
      <c r="R3" s="3" t="s">
        <v>3</v>
      </c>
      <c r="W3" s="3" t="s">
        <v>4</v>
      </c>
      <c r="AB3" s="3" t="s">
        <v>5</v>
      </c>
      <c r="AC3" s="3"/>
      <c r="AD3" s="3"/>
      <c r="AE3" s="3"/>
      <c r="AF3" s="3" t="s">
        <v>6</v>
      </c>
    </row>
    <row r="4">
      <c r="C4" s="2" t="s">
        <v>63</v>
      </c>
      <c r="D4" s="69" t="s">
        <v>63</v>
      </c>
      <c r="E4" s="69" t="s">
        <v>63</v>
      </c>
      <c r="G4" s="68"/>
      <c r="K4" s="4"/>
      <c r="L4" s="3" t="s">
        <v>9</v>
      </c>
      <c r="M4" s="3" t="s">
        <v>10</v>
      </c>
      <c r="N4" s="3" t="s">
        <v>11</v>
      </c>
      <c r="O4" s="5" t="s">
        <v>12</v>
      </c>
      <c r="P4" s="3" t="s">
        <v>13</v>
      </c>
      <c r="Q4" s="3" t="s">
        <v>14</v>
      </c>
      <c r="R4" s="3" t="s">
        <v>10</v>
      </c>
      <c r="S4" s="3" t="s">
        <v>11</v>
      </c>
      <c r="T4" s="5" t="s">
        <v>12</v>
      </c>
      <c r="U4" s="3" t="s">
        <v>13</v>
      </c>
      <c r="V4" s="3" t="s">
        <v>14</v>
      </c>
      <c r="W4" s="3" t="s">
        <v>10</v>
      </c>
      <c r="X4" s="3" t="s">
        <v>11</v>
      </c>
      <c r="Y4" s="5" t="s">
        <v>12</v>
      </c>
      <c r="Z4" s="3" t="s">
        <v>13</v>
      </c>
      <c r="AA4" s="3" t="s">
        <v>14</v>
      </c>
      <c r="AB4" s="3" t="s">
        <v>10</v>
      </c>
      <c r="AC4" s="3" t="s">
        <v>11</v>
      </c>
      <c r="AD4" s="3" t="s">
        <v>13</v>
      </c>
      <c r="AE4" s="3" t="s">
        <v>14</v>
      </c>
      <c r="AF4" s="3" t="s">
        <v>10</v>
      </c>
      <c r="AG4" s="3" t="s">
        <v>12</v>
      </c>
      <c r="AH4" s="3" t="s">
        <v>13</v>
      </c>
      <c r="AI4" s="3" t="s">
        <v>14</v>
      </c>
      <c r="AJ4" s="3"/>
      <c r="AK4" s="3" t="s">
        <v>15</v>
      </c>
      <c r="AL4" s="3"/>
      <c r="AM4" s="3"/>
      <c r="AN4" s="3" t="s">
        <v>445</v>
      </c>
      <c r="AO4" s="3"/>
    </row>
    <row r="5">
      <c r="B5" s="65" t="s">
        <v>56</v>
      </c>
      <c r="C5" s="66">
        <v>71.83</v>
      </c>
      <c r="D5" s="65">
        <v>75.16</v>
      </c>
      <c r="E5" s="66">
        <v>74.68</v>
      </c>
      <c r="G5" s="68"/>
      <c r="I5" s="41" t="s">
        <v>446</v>
      </c>
      <c r="J5" s="2" t="s">
        <v>18</v>
      </c>
      <c r="K5" s="6" t="s">
        <v>19</v>
      </c>
      <c r="L5" s="7" t="s">
        <v>20</v>
      </c>
      <c r="M5" s="8">
        <v>33.46</v>
      </c>
      <c r="N5" s="9">
        <v>28.08</v>
      </c>
      <c r="O5" s="10">
        <v>7.98</v>
      </c>
      <c r="P5" s="9">
        <v>51.36</v>
      </c>
      <c r="Q5" s="9">
        <v>30.9</v>
      </c>
      <c r="R5" s="9">
        <v>37.87</v>
      </c>
      <c r="S5" s="9">
        <v>30.34</v>
      </c>
      <c r="T5" s="10">
        <v>19.86</v>
      </c>
      <c r="U5" s="9">
        <v>61.27</v>
      </c>
      <c r="V5" s="9">
        <v>27.15</v>
      </c>
      <c r="W5" s="9">
        <v>0.394171881992857</v>
      </c>
      <c r="X5" s="9">
        <v>54.15</v>
      </c>
      <c r="Y5" s="10">
        <v>0.355923708891404</v>
      </c>
      <c r="Z5" s="9">
        <v>0.310902785459352</v>
      </c>
      <c r="AA5" s="9">
        <v>0.280425714214168</v>
      </c>
      <c r="AB5" s="2">
        <v>52.38</v>
      </c>
      <c r="AC5" s="2">
        <v>37.37</v>
      </c>
      <c r="AD5" s="2">
        <v>57.0</v>
      </c>
      <c r="AE5" s="2">
        <v>41.36</v>
      </c>
      <c r="AK5" s="43">
        <f t="shared" ref="AK5:AK34" si="1">(M5+N5+P5+Q5+R5+S5+U5+V5+(W5+Z5+AA5)*100+X5+AB5+AC5+AD5+AE5)/16</f>
        <v>40.07750239</v>
      </c>
      <c r="AN5" s="43">
        <f t="shared" ref="AN5:AN6" si="2">(SUM(M5:V5)-O5-T5-Q5-V5)/4</f>
        <v>60.595</v>
      </c>
    </row>
    <row r="6">
      <c r="A6" s="2" t="s">
        <v>64</v>
      </c>
      <c r="B6" s="3" t="s">
        <v>65</v>
      </c>
      <c r="C6" s="2">
        <v>71.5</v>
      </c>
      <c r="D6" s="2">
        <v>74.24</v>
      </c>
      <c r="E6" s="2">
        <v>75.07</v>
      </c>
      <c r="J6" s="3" t="s">
        <v>21</v>
      </c>
      <c r="L6" s="3" t="s">
        <v>22</v>
      </c>
      <c r="M6" s="2">
        <v>51.75</v>
      </c>
      <c r="N6" s="2">
        <v>52.98</v>
      </c>
      <c r="O6" s="15">
        <v>32.92</v>
      </c>
      <c r="P6" s="16">
        <v>48.04</v>
      </c>
      <c r="Q6" s="2">
        <v>40.94</v>
      </c>
      <c r="R6" s="2">
        <v>52.85</v>
      </c>
      <c r="S6" s="2">
        <v>57.62</v>
      </c>
      <c r="T6" s="15">
        <v>35.63</v>
      </c>
      <c r="U6" s="2">
        <v>60.0</v>
      </c>
      <c r="V6" s="2">
        <v>51.01</v>
      </c>
      <c r="W6" s="2">
        <v>0.534616381438451</v>
      </c>
      <c r="X6" s="2">
        <v>67.23</v>
      </c>
      <c r="Y6" s="15">
        <v>0.484958431335845</v>
      </c>
      <c r="Z6" s="2">
        <v>0.434364060985857</v>
      </c>
      <c r="AA6" s="2">
        <v>0.492564240886557</v>
      </c>
      <c r="AB6" s="2">
        <v>55.32</v>
      </c>
      <c r="AC6" s="2">
        <v>61.99</v>
      </c>
      <c r="AD6" s="2">
        <v>58.72</v>
      </c>
      <c r="AE6" s="2">
        <v>46.64</v>
      </c>
      <c r="AK6" s="43">
        <f t="shared" si="1"/>
        <v>53.20277927</v>
      </c>
      <c r="AN6" s="43">
        <f t="shared" si="2"/>
        <v>80.81</v>
      </c>
    </row>
    <row r="7">
      <c r="B7" s="3" t="s">
        <v>66</v>
      </c>
      <c r="C7" s="2">
        <v>67.0</v>
      </c>
      <c r="D7" s="2">
        <v>73.23</v>
      </c>
      <c r="E7" s="2">
        <v>74.86</v>
      </c>
      <c r="J7" s="3"/>
      <c r="L7" s="3" t="s">
        <v>23</v>
      </c>
      <c r="M7" s="2">
        <v>43.15</v>
      </c>
      <c r="N7" s="2">
        <v>40.75</v>
      </c>
      <c r="O7" s="15">
        <v>24.75</v>
      </c>
      <c r="P7" s="2">
        <v>27.8</v>
      </c>
      <c r="Q7" s="2">
        <v>35.35</v>
      </c>
      <c r="R7" s="2">
        <v>53.4</v>
      </c>
      <c r="S7" s="2">
        <v>56.4</v>
      </c>
      <c r="T7" s="15">
        <v>32.15</v>
      </c>
      <c r="U7" s="2">
        <v>58.1</v>
      </c>
      <c r="V7" s="2">
        <v>50.85</v>
      </c>
      <c r="W7" s="2">
        <v>0.522032188470096</v>
      </c>
      <c r="X7" s="2">
        <v>57.3</v>
      </c>
      <c r="Y7" s="15">
        <v>0.466482062646915</v>
      </c>
      <c r="Z7" s="2">
        <v>0.41900521878719</v>
      </c>
      <c r="AA7" s="2">
        <v>0.482297132284177</v>
      </c>
      <c r="AB7" s="2">
        <v>52.35</v>
      </c>
      <c r="AC7" s="2">
        <v>49.55</v>
      </c>
      <c r="AD7" s="2">
        <v>53.7</v>
      </c>
      <c r="AE7" s="2">
        <v>44.45</v>
      </c>
      <c r="AK7" s="43">
        <f t="shared" si="1"/>
        <v>47.84271587</v>
      </c>
    </row>
    <row r="8">
      <c r="B8" s="3" t="s">
        <v>67</v>
      </c>
      <c r="C8" s="2">
        <v>71.17</v>
      </c>
      <c r="D8" s="3">
        <v>76.01</v>
      </c>
      <c r="E8" s="3">
        <v>76.01</v>
      </c>
      <c r="J8" s="3"/>
      <c r="K8" s="18"/>
      <c r="L8" s="19" t="s">
        <v>24</v>
      </c>
      <c r="M8" s="20">
        <v>47.0</v>
      </c>
      <c r="N8" s="20">
        <v>40.7</v>
      </c>
      <c r="O8" s="21">
        <v>24.7</v>
      </c>
      <c r="P8" s="20">
        <v>36.1</v>
      </c>
      <c r="Q8" s="20">
        <v>40.94</v>
      </c>
      <c r="R8" s="20">
        <v>54.8</v>
      </c>
      <c r="S8" s="20">
        <v>53.6</v>
      </c>
      <c r="T8" s="21">
        <v>32.0</v>
      </c>
      <c r="U8" s="20">
        <v>58.41</v>
      </c>
      <c r="V8" s="20">
        <v>50.08</v>
      </c>
      <c r="W8" s="20">
        <v>0.52890607832841</v>
      </c>
      <c r="X8" s="20">
        <v>61.15</v>
      </c>
      <c r="Y8" s="21">
        <v>0.475854114017985</v>
      </c>
      <c r="Z8" s="20">
        <v>0.432518454405005</v>
      </c>
      <c r="AA8" s="20">
        <v>0.492660604723628</v>
      </c>
      <c r="AB8" s="2">
        <v>54.9</v>
      </c>
      <c r="AC8" s="2">
        <v>50.85</v>
      </c>
      <c r="AD8" s="2">
        <v>57.2</v>
      </c>
      <c r="AE8" s="2">
        <v>46.69</v>
      </c>
      <c r="AJ8" s="2"/>
      <c r="AK8" s="43">
        <f t="shared" si="1"/>
        <v>49.86428211</v>
      </c>
    </row>
    <row r="9">
      <c r="B9" s="3" t="s">
        <v>68</v>
      </c>
      <c r="C9" s="2">
        <v>67.0</v>
      </c>
      <c r="D9" s="2">
        <v>73.62</v>
      </c>
      <c r="E9" s="2">
        <v>73.66</v>
      </c>
      <c r="J9" s="3"/>
      <c r="K9" s="3" t="s">
        <v>25</v>
      </c>
      <c r="L9" s="3" t="s">
        <v>26</v>
      </c>
      <c r="M9" s="2">
        <v>21.37</v>
      </c>
      <c r="N9" s="24"/>
      <c r="O9" s="24">
        <v>4.36</v>
      </c>
      <c r="Q9" s="2">
        <v>20.41</v>
      </c>
      <c r="S9" s="2"/>
      <c r="T9" s="2">
        <v>0.27</v>
      </c>
      <c r="V9" s="2">
        <v>21.4</v>
      </c>
      <c r="Y9" s="1"/>
      <c r="AK9" s="43">
        <f t="shared" si="1"/>
        <v>3.94875</v>
      </c>
    </row>
    <row r="10">
      <c r="B10" s="3" t="s">
        <v>69</v>
      </c>
      <c r="C10" s="2">
        <v>66.25</v>
      </c>
      <c r="D10" s="3">
        <v>74.56</v>
      </c>
      <c r="E10" s="16">
        <v>74.77</v>
      </c>
      <c r="J10" s="3"/>
      <c r="K10" s="4"/>
      <c r="L10" s="26" t="s">
        <v>27</v>
      </c>
      <c r="M10" s="27">
        <v>35.23</v>
      </c>
      <c r="N10" s="27"/>
      <c r="O10" s="27">
        <v>27.84</v>
      </c>
      <c r="P10" s="28"/>
      <c r="Q10" s="27">
        <v>28.39</v>
      </c>
      <c r="R10" s="28"/>
      <c r="S10" s="27"/>
      <c r="T10" s="27">
        <v>27.61</v>
      </c>
      <c r="U10" s="28"/>
      <c r="V10" s="27">
        <v>37.0</v>
      </c>
      <c r="Y10" s="1"/>
      <c r="AK10" s="43">
        <f t="shared" si="1"/>
        <v>6.28875</v>
      </c>
    </row>
    <row r="11">
      <c r="B11" s="2" t="s">
        <v>70</v>
      </c>
      <c r="I11" s="2" t="s">
        <v>447</v>
      </c>
      <c r="J11" s="29" t="s">
        <v>28</v>
      </c>
      <c r="K11" s="2" t="s">
        <v>29</v>
      </c>
      <c r="L11" s="30" t="s">
        <v>30</v>
      </c>
      <c r="M11" s="31">
        <v>50.47</v>
      </c>
      <c r="N11" s="31"/>
      <c r="O11" s="31">
        <v>28.31</v>
      </c>
      <c r="P11" s="32"/>
      <c r="Q11" s="31">
        <v>40.82</v>
      </c>
      <c r="R11" s="32"/>
      <c r="S11" s="31"/>
      <c r="T11" s="31">
        <v>28.15</v>
      </c>
      <c r="U11" s="32"/>
      <c r="V11" s="31">
        <v>50.68</v>
      </c>
      <c r="W11" s="75"/>
      <c r="X11" s="75"/>
      <c r="Y11" s="76"/>
      <c r="Z11" s="75"/>
      <c r="AA11" s="75"/>
      <c r="AK11" s="43">
        <f t="shared" si="1"/>
        <v>8.873125</v>
      </c>
    </row>
    <row r="12">
      <c r="B12" s="2" t="s">
        <v>71</v>
      </c>
      <c r="C12" s="15"/>
      <c r="D12" s="2">
        <v>72.56</v>
      </c>
      <c r="J12" s="29" t="s">
        <v>31</v>
      </c>
      <c r="K12" s="4"/>
      <c r="L12" s="26" t="s">
        <v>32</v>
      </c>
      <c r="M12" s="27">
        <v>50.78</v>
      </c>
      <c r="N12" s="27"/>
      <c r="O12" s="27">
        <v>28.16</v>
      </c>
      <c r="P12" s="28"/>
      <c r="Q12" s="27">
        <v>42.3</v>
      </c>
      <c r="R12" s="28"/>
      <c r="S12" s="28"/>
      <c r="T12" s="28"/>
      <c r="U12" s="28"/>
      <c r="V12" s="27">
        <v>56.27</v>
      </c>
      <c r="Y12" s="1"/>
      <c r="AK12" s="43">
        <f t="shared" si="1"/>
        <v>9.334375</v>
      </c>
    </row>
    <row r="13">
      <c r="B13" s="2" t="s">
        <v>72</v>
      </c>
      <c r="D13" s="2">
        <v>73.39</v>
      </c>
      <c r="J13" s="29" t="s">
        <v>33</v>
      </c>
      <c r="K13" s="4"/>
      <c r="L13" s="26" t="s">
        <v>34</v>
      </c>
      <c r="M13" s="27">
        <v>46.32</v>
      </c>
      <c r="N13" s="27"/>
      <c r="O13" s="27">
        <v>26.97</v>
      </c>
      <c r="P13" s="28"/>
      <c r="Q13" s="27">
        <v>40.94</v>
      </c>
      <c r="R13" s="28"/>
      <c r="S13" s="27"/>
      <c r="T13" s="27">
        <v>26.07</v>
      </c>
      <c r="U13" s="28"/>
      <c r="V13" s="28"/>
      <c r="Y13" s="1"/>
      <c r="AK13" s="43">
        <f t="shared" si="1"/>
        <v>5.45375</v>
      </c>
    </row>
    <row r="14">
      <c r="B14" s="70"/>
      <c r="K14" s="4"/>
      <c r="L14" s="35"/>
      <c r="M14" s="36"/>
      <c r="N14" s="36"/>
      <c r="O14" s="36"/>
      <c r="P14" s="36"/>
      <c r="Q14" s="36"/>
      <c r="R14" s="36"/>
      <c r="S14" s="36"/>
      <c r="T14" s="36"/>
      <c r="U14" s="36"/>
      <c r="V14" s="36"/>
      <c r="W14" s="77"/>
      <c r="X14" s="77"/>
      <c r="Y14" s="36"/>
      <c r="Z14" s="77"/>
      <c r="AA14" s="77"/>
      <c r="AK14" s="43">
        <f t="shared" si="1"/>
        <v>0</v>
      </c>
    </row>
    <row r="15">
      <c r="K15" s="4"/>
      <c r="L15" s="3"/>
      <c r="O15" s="1"/>
      <c r="T15" s="1"/>
      <c r="Y15" s="1"/>
      <c r="AK15" s="43">
        <f t="shared" si="1"/>
        <v>0</v>
      </c>
    </row>
    <row r="16">
      <c r="A16" s="3" t="s">
        <v>73</v>
      </c>
      <c r="L16" s="3" t="s">
        <v>448</v>
      </c>
      <c r="O16" s="1"/>
      <c r="T16" s="1"/>
      <c r="Y16" s="1"/>
      <c r="AK16" s="43">
        <f t="shared" si="1"/>
        <v>0</v>
      </c>
    </row>
    <row r="17">
      <c r="K17" s="2" t="s">
        <v>35</v>
      </c>
      <c r="L17" s="3" t="s">
        <v>36</v>
      </c>
      <c r="M17" s="2">
        <v>54.16</v>
      </c>
      <c r="N17" s="2">
        <v>55.75</v>
      </c>
      <c r="O17" s="15">
        <v>33.5</v>
      </c>
      <c r="P17" s="2">
        <v>57.76</v>
      </c>
      <c r="Q17" s="2">
        <v>43.9</v>
      </c>
      <c r="R17" s="16">
        <v>57.93</v>
      </c>
      <c r="S17" s="3">
        <v>59.51</v>
      </c>
      <c r="T17" s="15">
        <v>36.63</v>
      </c>
      <c r="U17" s="2">
        <v>66.67</v>
      </c>
      <c r="V17" s="2">
        <v>54.63</v>
      </c>
      <c r="W17" s="2">
        <v>0.532944175305095</v>
      </c>
      <c r="X17" s="3">
        <v>68.08</v>
      </c>
      <c r="Y17" s="5">
        <v>0.48053355129346</v>
      </c>
      <c r="Z17" s="2">
        <v>0.429560271998061</v>
      </c>
      <c r="AA17" s="2">
        <v>0.482699914381539</v>
      </c>
      <c r="AB17" s="2">
        <v>64.05</v>
      </c>
      <c r="AC17" s="2">
        <v>70.55</v>
      </c>
      <c r="AD17" s="2">
        <v>69.55</v>
      </c>
      <c r="AE17" s="2">
        <v>50.91</v>
      </c>
      <c r="AK17" s="43">
        <f t="shared" si="1"/>
        <v>57.37315226</v>
      </c>
    </row>
    <row r="18">
      <c r="L18" s="3" t="s">
        <v>37</v>
      </c>
      <c r="M18" s="3">
        <v>55.21</v>
      </c>
      <c r="N18" s="41">
        <v>56.47</v>
      </c>
      <c r="O18" s="42">
        <v>33.61</v>
      </c>
      <c r="P18" s="3">
        <v>57.9</v>
      </c>
      <c r="Q18" s="3">
        <v>46.18</v>
      </c>
      <c r="R18" s="3">
        <v>59.55</v>
      </c>
      <c r="S18" s="2">
        <v>58.46</v>
      </c>
      <c r="T18" s="5">
        <v>36.55</v>
      </c>
      <c r="U18" s="3">
        <v>68.89</v>
      </c>
      <c r="V18" s="3">
        <v>58.78</v>
      </c>
      <c r="W18" s="3">
        <v>0.533408141505302</v>
      </c>
      <c r="X18" s="2">
        <v>67.7</v>
      </c>
      <c r="Y18" s="15">
        <v>0.47968961690472</v>
      </c>
      <c r="Z18" s="3">
        <v>0.430592452201895</v>
      </c>
      <c r="AA18" s="3">
        <v>0.491819197298873</v>
      </c>
      <c r="AB18" s="2">
        <v>63.8</v>
      </c>
      <c r="AC18" s="2">
        <v>70.35</v>
      </c>
      <c r="AD18" s="2">
        <v>68.5</v>
      </c>
      <c r="AE18" s="2">
        <v>52.51</v>
      </c>
      <c r="AK18" s="43">
        <f t="shared" si="1"/>
        <v>58.11762369</v>
      </c>
      <c r="AN18" s="43">
        <f>(SUM(M18:V18)-O18-T18-Q18-V18)/4</f>
        <v>89.12</v>
      </c>
    </row>
    <row r="19">
      <c r="K19" s="2" t="s">
        <v>35</v>
      </c>
      <c r="L19" s="3" t="s">
        <v>38</v>
      </c>
      <c r="M19" s="2">
        <v>49.93</v>
      </c>
      <c r="N19" s="2">
        <v>54.2</v>
      </c>
      <c r="O19" s="15">
        <v>31.95</v>
      </c>
      <c r="P19" s="3">
        <v>57.94</v>
      </c>
      <c r="Q19" s="2">
        <v>42.3</v>
      </c>
      <c r="R19" s="2">
        <v>58.63</v>
      </c>
      <c r="S19" s="2">
        <v>53.66</v>
      </c>
      <c r="T19" s="5">
        <v>36.63</v>
      </c>
      <c r="U19" s="2">
        <v>68.89</v>
      </c>
      <c r="V19" s="3">
        <v>60.48</v>
      </c>
      <c r="W19" s="2">
        <v>0.533865734980547</v>
      </c>
      <c r="X19" s="2">
        <v>65.85</v>
      </c>
      <c r="Y19" s="15">
        <v>0.478017395807485</v>
      </c>
      <c r="Z19" s="2">
        <v>0.422898998687583</v>
      </c>
      <c r="AA19" s="2">
        <v>0.486667959044468</v>
      </c>
      <c r="AB19" s="2">
        <v>64.3</v>
      </c>
      <c r="AC19" s="2">
        <v>70.55</v>
      </c>
      <c r="AD19" s="2">
        <v>67.75</v>
      </c>
      <c r="AE19" s="2">
        <v>55.87</v>
      </c>
      <c r="AK19" s="43">
        <f t="shared" si="1"/>
        <v>57.16832933</v>
      </c>
    </row>
    <row r="20">
      <c r="K20" s="44" t="s">
        <v>39</v>
      </c>
      <c r="L20" s="45" t="s">
        <v>40</v>
      </c>
      <c r="M20" s="46">
        <v>53.45</v>
      </c>
      <c r="N20" s="78"/>
      <c r="O20" s="48">
        <v>35.56</v>
      </c>
      <c r="P20" s="46">
        <v>56.93</v>
      </c>
      <c r="Q20" s="45">
        <v>47.09</v>
      </c>
      <c r="R20" s="46">
        <v>57.02</v>
      </c>
      <c r="S20" s="46"/>
      <c r="T20" s="49">
        <v>32.79</v>
      </c>
      <c r="U20" s="46">
        <v>66.67</v>
      </c>
      <c r="V20" s="46">
        <v>56.16</v>
      </c>
      <c r="W20" s="46">
        <v>0.526618064649409</v>
      </c>
      <c r="X20" s="46"/>
      <c r="Y20" s="49">
        <v>0.478213954326323</v>
      </c>
      <c r="Z20" s="46">
        <v>0.431509075727309</v>
      </c>
      <c r="AA20" s="46">
        <v>0.48547982722784</v>
      </c>
      <c r="AB20" s="2">
        <v>64.5</v>
      </c>
      <c r="AC20" s="2">
        <v>70.7</v>
      </c>
      <c r="AD20" s="2">
        <v>68.2</v>
      </c>
      <c r="AE20" s="2">
        <v>53.68</v>
      </c>
      <c r="AK20" s="43">
        <f t="shared" si="1"/>
        <v>46.17254355</v>
      </c>
    </row>
    <row r="21">
      <c r="L21" s="52" t="s">
        <v>41</v>
      </c>
      <c r="M21" s="53">
        <v>51.94</v>
      </c>
      <c r="N21" s="53"/>
      <c r="O21" s="54">
        <v>32.89</v>
      </c>
      <c r="P21" s="53">
        <v>56.65</v>
      </c>
      <c r="Q21" s="53">
        <v>45.95</v>
      </c>
      <c r="R21" s="53">
        <v>55.48</v>
      </c>
      <c r="S21" s="53"/>
      <c r="T21" s="54">
        <v>29.86</v>
      </c>
      <c r="U21" s="53">
        <v>68.25</v>
      </c>
      <c r="V21" s="53">
        <v>55.01</v>
      </c>
      <c r="W21" s="53">
        <v>0.527146981375586</v>
      </c>
      <c r="X21" s="53"/>
      <c r="Y21" s="54">
        <v>0.47659075645268</v>
      </c>
      <c r="Z21" s="53">
        <v>0.435623066865375</v>
      </c>
      <c r="AA21" s="53">
        <v>0.479909526364038</v>
      </c>
      <c r="AB21" s="2">
        <v>64.65</v>
      </c>
      <c r="AC21" s="2">
        <v>70.8</v>
      </c>
      <c r="AD21" s="2">
        <v>68.2</v>
      </c>
      <c r="AE21" s="2">
        <v>52.24</v>
      </c>
      <c r="AK21" s="43">
        <f t="shared" si="1"/>
        <v>45.83987234</v>
      </c>
    </row>
    <row r="22">
      <c r="O22" s="1"/>
      <c r="T22" s="1"/>
      <c r="Y22" s="1"/>
      <c r="AK22" s="43">
        <f t="shared" si="1"/>
        <v>0</v>
      </c>
    </row>
    <row r="23">
      <c r="B23" s="79"/>
      <c r="C23" s="80"/>
      <c r="J23" s="3" t="s">
        <v>42</v>
      </c>
      <c r="K23" s="44" t="s">
        <v>43</v>
      </c>
      <c r="L23" s="3" t="s">
        <v>449</v>
      </c>
      <c r="O23" s="1"/>
      <c r="T23" s="1"/>
      <c r="Y23" s="1"/>
      <c r="AK23" s="43">
        <f t="shared" si="1"/>
        <v>0</v>
      </c>
    </row>
    <row r="24">
      <c r="B24" s="79"/>
      <c r="C24" s="80"/>
      <c r="L24" s="3" t="s">
        <v>44</v>
      </c>
      <c r="O24" s="1"/>
      <c r="T24" s="1"/>
      <c r="Y24" s="1"/>
      <c r="AK24" s="43">
        <f t="shared" si="1"/>
        <v>0</v>
      </c>
    </row>
    <row r="25">
      <c r="B25" s="79"/>
      <c r="C25" s="80"/>
      <c r="L25" s="3" t="s">
        <v>450</v>
      </c>
      <c r="O25" s="1"/>
      <c r="T25" s="1"/>
      <c r="Y25" s="1"/>
      <c r="AK25" s="43">
        <f t="shared" si="1"/>
        <v>0</v>
      </c>
    </row>
    <row r="26">
      <c r="B26" s="79"/>
      <c r="C26" s="80"/>
      <c r="D26" s="44" t="s">
        <v>45</v>
      </c>
      <c r="E26" s="3" t="s">
        <v>52</v>
      </c>
      <c r="F26" s="2" t="s">
        <v>53</v>
      </c>
      <c r="G26" s="2" t="s">
        <v>54</v>
      </c>
      <c r="H26" s="2" t="s">
        <v>55</v>
      </c>
      <c r="O26" s="1"/>
      <c r="T26" s="1"/>
      <c r="Y26" s="1"/>
      <c r="AK26" s="43">
        <f t="shared" si="1"/>
        <v>0</v>
      </c>
    </row>
    <row r="27">
      <c r="B27" s="79"/>
      <c r="C27" s="79"/>
      <c r="D27" s="44" t="s">
        <v>45</v>
      </c>
      <c r="E27" s="65" t="s">
        <v>56</v>
      </c>
      <c r="F27" s="65">
        <v>75.16</v>
      </c>
      <c r="G27" s="66">
        <v>62.02</v>
      </c>
      <c r="H27" s="66">
        <v>72.97</v>
      </c>
      <c r="K27" s="44" t="s">
        <v>45</v>
      </c>
      <c r="L27" s="3" t="s">
        <v>46</v>
      </c>
      <c r="M27" s="16">
        <v>48.99</v>
      </c>
      <c r="N27" s="16"/>
      <c r="O27" s="57">
        <v>29.53</v>
      </c>
      <c r="P27" s="16">
        <v>51.2</v>
      </c>
      <c r="Q27" s="16">
        <v>40.94</v>
      </c>
      <c r="R27" s="2">
        <v>56.17</v>
      </c>
      <c r="S27" s="2"/>
      <c r="T27" s="15">
        <v>36.37</v>
      </c>
      <c r="U27" s="2">
        <v>64.44</v>
      </c>
      <c r="V27" s="2">
        <v>55.5</v>
      </c>
      <c r="W27" s="2">
        <v>0.524870314437559</v>
      </c>
      <c r="X27" s="2"/>
      <c r="Y27" s="15">
        <v>0.463521416734135</v>
      </c>
      <c r="Z27" s="2">
        <v>0.41492453609056</v>
      </c>
      <c r="AA27" s="2">
        <v>0.478394243656881</v>
      </c>
      <c r="AB27" s="2"/>
      <c r="AC27" s="2"/>
      <c r="AD27" s="2"/>
      <c r="AE27" s="2"/>
      <c r="AK27" s="43">
        <f t="shared" si="1"/>
        <v>28.69118184</v>
      </c>
    </row>
    <row r="28">
      <c r="O28" s="1"/>
      <c r="T28" s="1"/>
      <c r="Y28" s="1"/>
      <c r="AK28" s="43">
        <f t="shared" si="1"/>
        <v>0</v>
      </c>
    </row>
    <row r="29">
      <c r="K29" s="3"/>
      <c r="O29" s="1"/>
      <c r="T29" s="1"/>
      <c r="Y29" s="1"/>
      <c r="AK29" s="43">
        <f t="shared" si="1"/>
        <v>0</v>
      </c>
    </row>
    <row r="30">
      <c r="K30" s="3"/>
      <c r="L30" s="58" t="s">
        <v>47</v>
      </c>
      <c r="O30" s="1"/>
      <c r="T30" s="1"/>
      <c r="Y30" s="1"/>
      <c r="AK30" s="43">
        <f t="shared" si="1"/>
        <v>0</v>
      </c>
    </row>
    <row r="31">
      <c r="K31" s="2" t="s">
        <v>48</v>
      </c>
      <c r="L31" s="3" t="s">
        <v>49</v>
      </c>
      <c r="M31" s="59">
        <v>65.43</v>
      </c>
      <c r="N31" s="59">
        <v>56.87</v>
      </c>
      <c r="O31" s="60">
        <v>33.57</v>
      </c>
      <c r="P31" s="59">
        <v>60.26</v>
      </c>
      <c r="Q31" s="61">
        <v>45.61</v>
      </c>
      <c r="R31" s="59">
        <v>71.51</v>
      </c>
      <c r="S31" s="59">
        <v>59.32</v>
      </c>
      <c r="T31" s="60">
        <v>36.96</v>
      </c>
      <c r="U31" s="59">
        <v>71.43</v>
      </c>
      <c r="V31" s="59">
        <v>53.26</v>
      </c>
      <c r="W31" s="59">
        <v>0.545963150359882</v>
      </c>
      <c r="X31" s="59">
        <v>67.8</v>
      </c>
      <c r="Y31" s="60">
        <v>0.484198148058236</v>
      </c>
      <c r="Z31" s="59">
        <v>0.435309609105462</v>
      </c>
      <c r="AA31" s="59">
        <v>0.489494918480778</v>
      </c>
      <c r="AB31" s="59">
        <v>70.2</v>
      </c>
      <c r="AC31" s="59">
        <v>72.4</v>
      </c>
      <c r="AD31" s="59">
        <v>70.8</v>
      </c>
      <c r="AE31" s="59">
        <v>51.49</v>
      </c>
      <c r="AK31" s="43">
        <f t="shared" si="1"/>
        <v>60.21604799</v>
      </c>
      <c r="AN31" s="43">
        <f t="shared" ref="AN31:AN32" si="3">(SUM(M31:V31)-O31-T31-Q31-V31)/4</f>
        <v>96.205</v>
      </c>
    </row>
    <row r="32">
      <c r="L32" s="3" t="s">
        <v>50</v>
      </c>
      <c r="M32" s="3">
        <v>78.71</v>
      </c>
      <c r="N32" s="81">
        <v>0.8525</v>
      </c>
      <c r="O32" s="5">
        <v>70.93</v>
      </c>
      <c r="P32" s="64">
        <v>67.21</v>
      </c>
      <c r="Q32" s="3">
        <v>49.49</v>
      </c>
      <c r="R32" s="3">
        <v>79.18</v>
      </c>
      <c r="S32" s="3">
        <v>92.19</v>
      </c>
      <c r="T32" s="5">
        <v>75.54</v>
      </c>
      <c r="U32" s="3">
        <v>79.37</v>
      </c>
      <c r="V32" s="3">
        <v>48.6</v>
      </c>
      <c r="W32" s="3">
        <v>0.562792160272104</v>
      </c>
      <c r="X32" s="3"/>
      <c r="Y32" s="5">
        <v>0.515793659221944</v>
      </c>
      <c r="Z32" s="3">
        <v>0.44477608249069</v>
      </c>
      <c r="AA32" s="3">
        <v>0.510926722779711</v>
      </c>
      <c r="AB32" s="3"/>
      <c r="AC32" s="3"/>
      <c r="AD32" s="3"/>
      <c r="AE32" s="3"/>
      <c r="AK32" s="43">
        <f t="shared" si="1"/>
        <v>40.46574978</v>
      </c>
      <c r="AN32" s="43">
        <f t="shared" si="3"/>
        <v>99.378125</v>
      </c>
    </row>
    <row r="33">
      <c r="O33" s="1"/>
      <c r="T33" s="1"/>
      <c r="Y33" s="1"/>
      <c r="AK33" s="43">
        <f t="shared" si="1"/>
        <v>0</v>
      </c>
    </row>
    <row r="34">
      <c r="O34" s="1"/>
      <c r="T34" s="1"/>
      <c r="Y34" s="1"/>
      <c r="AK34" s="43">
        <f t="shared" si="1"/>
        <v>0</v>
      </c>
    </row>
    <row r="35">
      <c r="O35" s="1"/>
      <c r="T35" s="1"/>
      <c r="Y35" s="1"/>
    </row>
    <row r="36">
      <c r="N36" s="2" t="s">
        <v>51</v>
      </c>
      <c r="O36" s="1"/>
      <c r="T36" s="1"/>
      <c r="Y36" s="1"/>
    </row>
    <row r="37">
      <c r="L37" s="3"/>
      <c r="O37" s="1"/>
      <c r="T37" s="1"/>
      <c r="Y37" s="1"/>
    </row>
    <row r="38">
      <c r="O38" s="1"/>
      <c r="T38" s="1"/>
      <c r="Y38" s="1"/>
    </row>
    <row r="39">
      <c r="O39" s="1"/>
      <c r="T39" s="1"/>
      <c r="Y39" s="1"/>
    </row>
    <row r="40">
      <c r="O40" s="1"/>
      <c r="T40" s="1"/>
      <c r="Y40" s="1"/>
    </row>
    <row r="41">
      <c r="O41" s="1"/>
      <c r="T41" s="1"/>
      <c r="Y41" s="1"/>
    </row>
    <row r="42">
      <c r="L42" s="3"/>
      <c r="N42" s="67"/>
      <c r="O42" s="5"/>
      <c r="S42" s="67"/>
      <c r="T42" s="5"/>
      <c r="X42" s="67"/>
      <c r="Y42" s="5"/>
    </row>
    <row r="43">
      <c r="O43" s="1"/>
      <c r="T43" s="1"/>
      <c r="Y43" s="1"/>
    </row>
    <row r="44">
      <c r="O44" s="1"/>
      <c r="T44" s="1"/>
      <c r="Y44" s="1"/>
    </row>
    <row r="47">
      <c r="AB47" s="3"/>
      <c r="AC47" s="3"/>
      <c r="AD47" s="3"/>
      <c r="AE47" s="3"/>
    </row>
    <row r="48">
      <c r="AB48" s="2"/>
      <c r="AC48" s="2"/>
      <c r="AD48" s="2"/>
      <c r="AE48" s="2"/>
    </row>
    <row r="50">
      <c r="AB50" s="59"/>
      <c r="AC50" s="59"/>
      <c r="AD50" s="59"/>
      <c r="AE50" s="59"/>
    </row>
    <row r="51">
      <c r="AB51" s="2"/>
      <c r="AC51" s="2"/>
      <c r="AD51" s="2"/>
      <c r="AE51" s="2"/>
    </row>
    <row r="53">
      <c r="O53" s="1"/>
      <c r="T53" s="1"/>
      <c r="Y53" s="1"/>
    </row>
    <row r="54">
      <c r="O54" s="1"/>
      <c r="T54" s="1"/>
      <c r="Y54" s="1"/>
    </row>
    <row r="55">
      <c r="L55" s="2" t="s">
        <v>57</v>
      </c>
      <c r="O55" s="1"/>
      <c r="T55" s="1"/>
      <c r="Y55" s="1"/>
    </row>
    <row r="56">
      <c r="K56" s="2" t="s">
        <v>58</v>
      </c>
      <c r="O56" s="1"/>
      <c r="T56" s="1"/>
      <c r="Y56" s="1"/>
    </row>
    <row r="57">
      <c r="L57" s="3" t="s">
        <v>37</v>
      </c>
      <c r="M57" s="3">
        <v>55.21</v>
      </c>
      <c r="N57" s="64"/>
      <c r="O57" s="42">
        <v>33.61</v>
      </c>
      <c r="P57" s="3">
        <v>57.9</v>
      </c>
      <c r="Q57" s="3">
        <v>46.18</v>
      </c>
      <c r="R57" s="2">
        <v>58.63</v>
      </c>
      <c r="S57" s="16"/>
      <c r="T57" s="57">
        <v>32.52</v>
      </c>
      <c r="U57" s="2">
        <v>68.25</v>
      </c>
      <c r="V57" s="16">
        <v>56.05</v>
      </c>
      <c r="W57" s="3">
        <v>0.533408141505302</v>
      </c>
      <c r="X57" s="3"/>
      <c r="Y57" s="5">
        <v>0.47968961690472</v>
      </c>
      <c r="Z57" s="3">
        <v>0.430592452201895</v>
      </c>
      <c r="AA57" s="3">
        <v>0.491819197298873</v>
      </c>
    </row>
    <row r="58">
      <c r="L58" s="3" t="s">
        <v>59</v>
      </c>
      <c r="M58" s="2">
        <v>52.31</v>
      </c>
      <c r="N58" s="16"/>
      <c r="O58" s="57">
        <v>31.55</v>
      </c>
      <c r="P58" s="2">
        <v>57.1</v>
      </c>
      <c r="Q58" s="2">
        <v>46.29</v>
      </c>
      <c r="R58" s="3">
        <v>59.55</v>
      </c>
      <c r="S58" s="3"/>
      <c r="T58" s="5">
        <v>36.55</v>
      </c>
      <c r="U58" s="3">
        <v>68.89</v>
      </c>
      <c r="V58" s="3">
        <v>58.78</v>
      </c>
      <c r="W58" s="2">
        <v>0.528166225408755</v>
      </c>
      <c r="X58" s="2"/>
      <c r="Y58" s="15">
        <v>0.473669939827214</v>
      </c>
      <c r="Z58" s="2">
        <v>0.42568462612102</v>
      </c>
      <c r="AA58" s="2">
        <v>0.488209315412092</v>
      </c>
    </row>
    <row r="59">
      <c r="O59" s="1"/>
      <c r="T59" s="1"/>
      <c r="Y59" s="1"/>
    </row>
    <row r="60">
      <c r="L60" s="3" t="s">
        <v>49</v>
      </c>
      <c r="M60" s="59">
        <v>65.43</v>
      </c>
      <c r="N60" s="59"/>
      <c r="O60" s="60">
        <v>33.57</v>
      </c>
      <c r="P60" s="59">
        <v>60.26</v>
      </c>
      <c r="Q60" s="61">
        <v>45.61</v>
      </c>
      <c r="R60" s="16">
        <v>68.75</v>
      </c>
      <c r="S60" s="2"/>
      <c r="T60" s="15">
        <v>32.44</v>
      </c>
      <c r="U60" s="16">
        <v>69.21</v>
      </c>
      <c r="V60" s="16">
        <v>50.9</v>
      </c>
      <c r="W60" s="59">
        <v>0.545963150359882</v>
      </c>
      <c r="X60" s="59"/>
      <c r="Y60" s="60">
        <v>0.484198148058236</v>
      </c>
      <c r="Z60" s="59">
        <v>0.435309609105462</v>
      </c>
      <c r="AA60" s="59">
        <v>0.489494918480778</v>
      </c>
    </row>
    <row r="61">
      <c r="L61" s="3" t="s">
        <v>60</v>
      </c>
      <c r="M61" s="2">
        <v>64.49</v>
      </c>
      <c r="N61" s="2"/>
      <c r="O61" s="15">
        <v>32.49</v>
      </c>
      <c r="P61" s="2">
        <v>59.01</v>
      </c>
      <c r="Q61" s="2">
        <v>44.47</v>
      </c>
      <c r="R61" s="59">
        <v>71.51</v>
      </c>
      <c r="S61" s="59"/>
      <c r="T61" s="60">
        <v>36.96</v>
      </c>
      <c r="U61" s="59">
        <v>71.43</v>
      </c>
      <c r="V61" s="59">
        <v>53.26</v>
      </c>
      <c r="W61" s="2">
        <v>0.543956408922783</v>
      </c>
      <c r="X61" s="2"/>
      <c r="Y61" s="15">
        <v>0.474963463965171</v>
      </c>
      <c r="Z61" s="2">
        <v>0.430816385453446</v>
      </c>
      <c r="AA61" s="2">
        <v>0.483033844866077</v>
      </c>
    </row>
    <row r="62">
      <c r="O62" s="1"/>
      <c r="T62" s="1"/>
      <c r="Y62" s="1"/>
    </row>
    <row r="63">
      <c r="O63" s="1"/>
      <c r="T63" s="1"/>
      <c r="Y63" s="1"/>
    </row>
    <row r="64">
      <c r="O64" s="1"/>
      <c r="T64" s="1"/>
      <c r="Y64" s="1"/>
    </row>
    <row r="65">
      <c r="O65" s="1"/>
      <c r="T65" s="1"/>
      <c r="Y65" s="1"/>
    </row>
    <row r="66">
      <c r="O66" s="1"/>
      <c r="T66" s="1"/>
      <c r="Y66" s="1"/>
    </row>
    <row r="67">
      <c r="O67" s="1"/>
      <c r="T67" s="1"/>
      <c r="Y67" s="1"/>
    </row>
    <row r="68">
      <c r="O68" s="1"/>
      <c r="T68" s="1"/>
      <c r="Y68" s="1"/>
    </row>
    <row r="69">
      <c r="O69" s="1"/>
      <c r="T69" s="1"/>
      <c r="Y69" s="1"/>
    </row>
    <row r="70">
      <c r="O70" s="1"/>
      <c r="T70" s="1"/>
      <c r="Y70" s="1"/>
    </row>
    <row r="71">
      <c r="O71" s="1"/>
      <c r="T71" s="1"/>
      <c r="Y71" s="1"/>
    </row>
    <row r="72">
      <c r="O72" s="1"/>
      <c r="T72" s="1"/>
      <c r="Y72" s="1"/>
    </row>
    <row r="73">
      <c r="O73" s="1"/>
      <c r="T73" s="1"/>
      <c r="Y73" s="1"/>
    </row>
    <row r="74">
      <c r="O74" s="1"/>
      <c r="T74" s="1"/>
      <c r="Y74" s="1"/>
    </row>
    <row r="75">
      <c r="O75" s="1"/>
      <c r="T75" s="1"/>
      <c r="Y75" s="1"/>
    </row>
    <row r="76">
      <c r="O76" s="1"/>
      <c r="T76" s="1"/>
      <c r="Y76" s="1"/>
    </row>
    <row r="77">
      <c r="O77" s="1"/>
      <c r="T77" s="1"/>
      <c r="Y77" s="1"/>
    </row>
    <row r="78">
      <c r="O78" s="1"/>
      <c r="T78" s="1"/>
      <c r="Y78" s="1"/>
    </row>
    <row r="79">
      <c r="O79" s="1"/>
      <c r="T79" s="1"/>
      <c r="Y79" s="1"/>
    </row>
    <row r="80">
      <c r="O80" s="1"/>
      <c r="T80" s="1"/>
      <c r="Y80" s="1"/>
    </row>
    <row r="81">
      <c r="O81" s="1"/>
      <c r="T81" s="1"/>
      <c r="Y81" s="1"/>
    </row>
    <row r="82">
      <c r="O82" s="1"/>
      <c r="T82" s="1"/>
      <c r="Y82" s="1"/>
    </row>
    <row r="83">
      <c r="O83" s="1"/>
      <c r="T83" s="1"/>
      <c r="Y83" s="1"/>
    </row>
    <row r="84">
      <c r="O84" s="1"/>
      <c r="T84" s="1"/>
      <c r="Y84" s="1"/>
    </row>
    <row r="85">
      <c r="O85" s="1"/>
      <c r="T85" s="1"/>
      <c r="Y85" s="1"/>
    </row>
    <row r="86">
      <c r="O86" s="1"/>
      <c r="T86" s="1"/>
      <c r="Y86" s="1"/>
    </row>
    <row r="87">
      <c r="O87" s="1"/>
      <c r="T87" s="1"/>
      <c r="Y87" s="1"/>
    </row>
    <row r="88">
      <c r="O88" s="1"/>
      <c r="T88" s="1"/>
      <c r="Y88" s="1"/>
    </row>
    <row r="89">
      <c r="O89" s="1"/>
      <c r="T89" s="1"/>
      <c r="Y89" s="1"/>
    </row>
    <row r="90">
      <c r="O90" s="1"/>
      <c r="T90" s="1"/>
      <c r="Y90" s="1"/>
    </row>
    <row r="91">
      <c r="O91" s="1"/>
      <c r="T91" s="1"/>
      <c r="Y91" s="1"/>
    </row>
    <row r="92">
      <c r="O92" s="1"/>
      <c r="T92" s="1"/>
      <c r="Y92" s="1"/>
    </row>
    <row r="93">
      <c r="O93" s="1"/>
      <c r="T93" s="1"/>
      <c r="Y93" s="1"/>
    </row>
    <row r="94">
      <c r="O94" s="1"/>
      <c r="T94" s="1"/>
      <c r="Y94" s="1"/>
    </row>
    <row r="95">
      <c r="O95" s="1"/>
      <c r="T95" s="1"/>
      <c r="Y95" s="1"/>
    </row>
    <row r="96">
      <c r="O96" s="1"/>
      <c r="T96" s="1"/>
      <c r="Y96" s="1"/>
    </row>
    <row r="97">
      <c r="O97" s="1"/>
      <c r="T97" s="1"/>
      <c r="Y97" s="1"/>
    </row>
    <row r="98">
      <c r="O98" s="1"/>
      <c r="T98" s="1"/>
      <c r="Y98" s="1"/>
    </row>
    <row r="99">
      <c r="O99" s="1"/>
      <c r="T99" s="1"/>
      <c r="Y99" s="1"/>
    </row>
    <row r="100">
      <c r="O100" s="1"/>
      <c r="T100" s="1"/>
      <c r="Y100" s="1"/>
    </row>
    <row r="101">
      <c r="O101" s="1"/>
      <c r="T101" s="1"/>
      <c r="Y101" s="1"/>
    </row>
    <row r="102">
      <c r="O102" s="1"/>
      <c r="T102" s="1"/>
      <c r="Y102" s="1"/>
    </row>
    <row r="103">
      <c r="O103" s="1"/>
      <c r="T103" s="1"/>
      <c r="Y103" s="1"/>
    </row>
    <row r="104">
      <c r="O104" s="1"/>
      <c r="T104" s="1"/>
      <c r="Y104" s="1"/>
    </row>
    <row r="105">
      <c r="O105" s="1"/>
      <c r="T105" s="1"/>
      <c r="Y105" s="1"/>
    </row>
    <row r="106">
      <c r="O106" s="1"/>
      <c r="T106" s="1"/>
      <c r="Y106" s="1"/>
    </row>
    <row r="107">
      <c r="O107" s="1"/>
      <c r="T107" s="1"/>
      <c r="Y107" s="1"/>
    </row>
    <row r="108">
      <c r="O108" s="1"/>
      <c r="T108" s="1"/>
      <c r="Y108" s="1"/>
    </row>
    <row r="109">
      <c r="O109" s="1"/>
      <c r="T109" s="1"/>
      <c r="Y109" s="1"/>
    </row>
    <row r="110">
      <c r="O110" s="1"/>
      <c r="T110" s="1"/>
      <c r="Y110" s="1"/>
    </row>
    <row r="111">
      <c r="O111" s="1"/>
      <c r="T111" s="1"/>
      <c r="Y111" s="1"/>
    </row>
    <row r="112">
      <c r="O112" s="1"/>
      <c r="T112" s="1"/>
      <c r="Y112" s="1"/>
    </row>
    <row r="113">
      <c r="O113" s="1"/>
      <c r="T113" s="1"/>
      <c r="Y113" s="1"/>
    </row>
    <row r="114">
      <c r="O114" s="1"/>
      <c r="T114" s="1"/>
      <c r="Y114" s="1"/>
    </row>
    <row r="115">
      <c r="O115" s="1"/>
      <c r="T115" s="1"/>
      <c r="Y115" s="1"/>
    </row>
    <row r="116">
      <c r="O116" s="1"/>
      <c r="T116" s="1"/>
      <c r="Y116" s="1"/>
    </row>
    <row r="117">
      <c r="O117" s="1"/>
      <c r="T117" s="1"/>
      <c r="Y117" s="1"/>
    </row>
    <row r="118">
      <c r="O118" s="1"/>
      <c r="T118" s="1"/>
      <c r="Y118" s="1"/>
    </row>
    <row r="119">
      <c r="O119" s="1"/>
      <c r="T119" s="1"/>
      <c r="Y119" s="1"/>
    </row>
    <row r="120">
      <c r="O120" s="1"/>
      <c r="T120" s="1"/>
      <c r="Y120" s="1"/>
    </row>
    <row r="121">
      <c r="O121" s="1"/>
      <c r="T121" s="1"/>
      <c r="Y121" s="1"/>
    </row>
    <row r="122">
      <c r="O122" s="1"/>
      <c r="T122" s="1"/>
      <c r="Y122" s="1"/>
    </row>
    <row r="123">
      <c r="O123" s="1"/>
      <c r="T123" s="1"/>
      <c r="Y123" s="1"/>
    </row>
    <row r="124">
      <c r="O124" s="1"/>
      <c r="T124" s="1"/>
      <c r="Y124" s="1"/>
    </row>
    <row r="125">
      <c r="O125" s="1"/>
      <c r="T125" s="1"/>
      <c r="Y125" s="1"/>
    </row>
    <row r="126">
      <c r="O126" s="1"/>
      <c r="T126" s="1"/>
      <c r="Y126" s="1"/>
    </row>
    <row r="127">
      <c r="O127" s="1"/>
      <c r="T127" s="1"/>
      <c r="Y127" s="1"/>
    </row>
    <row r="128">
      <c r="O128" s="1"/>
      <c r="T128" s="1"/>
      <c r="Y128" s="1"/>
    </row>
    <row r="129">
      <c r="O129" s="1"/>
      <c r="T129" s="1"/>
      <c r="Y129" s="1"/>
    </row>
    <row r="130">
      <c r="O130" s="1"/>
      <c r="T130" s="1"/>
      <c r="Y130" s="1"/>
    </row>
    <row r="131">
      <c r="O131" s="1"/>
      <c r="T131" s="1"/>
      <c r="Y131" s="1"/>
    </row>
    <row r="132">
      <c r="O132" s="1"/>
      <c r="T132" s="1"/>
      <c r="Y132" s="1"/>
    </row>
    <row r="133">
      <c r="O133" s="1"/>
      <c r="T133" s="1"/>
      <c r="Y133" s="1"/>
    </row>
    <row r="134">
      <c r="O134" s="1"/>
      <c r="T134" s="1"/>
      <c r="Y134" s="1"/>
    </row>
    <row r="135">
      <c r="O135" s="1"/>
      <c r="T135" s="1"/>
      <c r="Y135" s="1"/>
    </row>
    <row r="136">
      <c r="O136" s="1"/>
      <c r="T136" s="1"/>
      <c r="Y136" s="1"/>
    </row>
    <row r="137">
      <c r="O137" s="1"/>
      <c r="T137" s="1"/>
      <c r="Y137" s="1"/>
    </row>
    <row r="138">
      <c r="O138" s="1"/>
      <c r="T138" s="1"/>
      <c r="Y138" s="1"/>
    </row>
    <row r="139">
      <c r="O139" s="1"/>
      <c r="T139" s="1"/>
      <c r="Y139" s="1"/>
    </row>
    <row r="140">
      <c r="O140" s="1"/>
      <c r="T140" s="1"/>
      <c r="Y140" s="1"/>
    </row>
    <row r="141">
      <c r="O141" s="1"/>
      <c r="T141" s="1"/>
      <c r="Y141" s="1"/>
    </row>
    <row r="142">
      <c r="O142" s="1"/>
      <c r="T142" s="1"/>
      <c r="Y142" s="1"/>
    </row>
    <row r="143">
      <c r="O143" s="1"/>
      <c r="T143" s="1"/>
      <c r="Y143" s="1"/>
    </row>
    <row r="144">
      <c r="O144" s="1"/>
      <c r="T144" s="1"/>
      <c r="Y144" s="1"/>
    </row>
    <row r="145">
      <c r="O145" s="1"/>
      <c r="T145" s="1"/>
      <c r="Y145" s="1"/>
    </row>
    <row r="146">
      <c r="O146" s="1"/>
      <c r="T146" s="1"/>
      <c r="Y146" s="1"/>
    </row>
    <row r="147">
      <c r="O147" s="1"/>
      <c r="T147" s="1"/>
      <c r="Y147" s="1"/>
    </row>
    <row r="148">
      <c r="O148" s="1"/>
      <c r="T148" s="1"/>
      <c r="Y148" s="1"/>
    </row>
    <row r="149">
      <c r="O149" s="1"/>
      <c r="T149" s="1"/>
      <c r="Y149" s="1"/>
    </row>
    <row r="150">
      <c r="O150" s="1"/>
      <c r="T150" s="1"/>
      <c r="Y150" s="1"/>
    </row>
    <row r="151">
      <c r="O151" s="1"/>
      <c r="T151" s="1"/>
      <c r="Y151" s="1"/>
    </row>
    <row r="152">
      <c r="O152" s="1"/>
      <c r="T152" s="1"/>
      <c r="Y152" s="1"/>
    </row>
    <row r="153">
      <c r="O153" s="1"/>
      <c r="T153" s="1"/>
      <c r="Y153" s="1"/>
    </row>
    <row r="154">
      <c r="O154" s="1"/>
      <c r="T154" s="1"/>
      <c r="Y154" s="1"/>
    </row>
    <row r="155">
      <c r="O155" s="1"/>
      <c r="T155" s="1"/>
      <c r="Y155" s="1"/>
    </row>
    <row r="156">
      <c r="O156" s="1"/>
      <c r="T156" s="1"/>
      <c r="Y156" s="1"/>
    </row>
    <row r="157">
      <c r="O157" s="1"/>
      <c r="T157" s="1"/>
      <c r="Y157" s="1"/>
    </row>
    <row r="158">
      <c r="O158" s="1"/>
      <c r="T158" s="1"/>
      <c r="Y158" s="1"/>
    </row>
    <row r="159">
      <c r="O159" s="1"/>
      <c r="T159" s="1"/>
      <c r="Y159" s="1"/>
    </row>
    <row r="160">
      <c r="O160" s="1"/>
      <c r="T160" s="1"/>
      <c r="Y160" s="1"/>
    </row>
    <row r="161">
      <c r="O161" s="1"/>
      <c r="T161" s="1"/>
      <c r="Y161" s="1"/>
    </row>
    <row r="162">
      <c r="O162" s="1"/>
      <c r="T162" s="1"/>
      <c r="Y162" s="1"/>
    </row>
    <row r="163">
      <c r="O163" s="1"/>
      <c r="T163" s="1"/>
      <c r="Y163" s="1"/>
    </row>
    <row r="164">
      <c r="O164" s="1"/>
      <c r="T164" s="1"/>
      <c r="Y164" s="1"/>
    </row>
    <row r="165">
      <c r="O165" s="1"/>
      <c r="T165" s="1"/>
      <c r="Y165" s="1"/>
    </row>
    <row r="166">
      <c r="O166" s="1"/>
      <c r="T166" s="1"/>
      <c r="Y166" s="1"/>
    </row>
    <row r="167">
      <c r="O167" s="1"/>
      <c r="T167" s="1"/>
      <c r="Y167" s="1"/>
    </row>
    <row r="168">
      <c r="O168" s="1"/>
      <c r="T168" s="1"/>
      <c r="Y168" s="1"/>
    </row>
    <row r="169">
      <c r="O169" s="1"/>
      <c r="T169" s="1"/>
      <c r="Y169" s="1"/>
    </row>
    <row r="170">
      <c r="O170" s="1"/>
      <c r="T170" s="1"/>
      <c r="Y170" s="1"/>
    </row>
    <row r="171">
      <c r="O171" s="1"/>
      <c r="T171" s="1"/>
      <c r="Y171" s="1"/>
    </row>
    <row r="172">
      <c r="O172" s="1"/>
      <c r="T172" s="1"/>
      <c r="Y172" s="1"/>
    </row>
    <row r="173">
      <c r="O173" s="1"/>
      <c r="T173" s="1"/>
      <c r="Y173" s="1"/>
    </row>
    <row r="174">
      <c r="O174" s="1"/>
      <c r="T174" s="1"/>
      <c r="Y174" s="1"/>
    </row>
    <row r="175">
      <c r="O175" s="1"/>
      <c r="T175" s="1"/>
      <c r="Y175" s="1"/>
    </row>
    <row r="176">
      <c r="O176" s="1"/>
      <c r="T176" s="1"/>
      <c r="Y176" s="1"/>
    </row>
    <row r="177">
      <c r="O177" s="1"/>
      <c r="T177" s="1"/>
      <c r="Y177" s="1"/>
    </row>
    <row r="178">
      <c r="O178" s="1"/>
      <c r="T178" s="1"/>
      <c r="Y178" s="1"/>
    </row>
    <row r="179">
      <c r="O179" s="1"/>
      <c r="T179" s="1"/>
      <c r="Y179" s="1"/>
    </row>
    <row r="180">
      <c r="O180" s="1"/>
      <c r="T180" s="1"/>
      <c r="Y180" s="1"/>
    </row>
    <row r="181">
      <c r="O181" s="1"/>
      <c r="T181" s="1"/>
      <c r="Y181" s="1"/>
    </row>
    <row r="182">
      <c r="O182" s="1"/>
      <c r="T182" s="1"/>
      <c r="Y182" s="1"/>
    </row>
    <row r="183">
      <c r="O183" s="1"/>
      <c r="T183" s="1"/>
      <c r="Y183" s="1"/>
    </row>
    <row r="184">
      <c r="O184" s="1"/>
      <c r="T184" s="1"/>
      <c r="Y184" s="1"/>
    </row>
    <row r="185">
      <c r="O185" s="1"/>
      <c r="T185" s="1"/>
      <c r="Y185" s="1"/>
    </row>
    <row r="186">
      <c r="O186" s="1"/>
      <c r="T186" s="1"/>
      <c r="Y186" s="1"/>
    </row>
    <row r="187">
      <c r="O187" s="1"/>
      <c r="T187" s="1"/>
      <c r="Y187" s="1"/>
    </row>
    <row r="188">
      <c r="O188" s="1"/>
      <c r="T188" s="1"/>
      <c r="Y188" s="1"/>
    </row>
    <row r="189">
      <c r="O189" s="1"/>
      <c r="T189" s="1"/>
      <c r="Y189" s="1"/>
    </row>
    <row r="190">
      <c r="O190" s="1"/>
      <c r="T190" s="1"/>
      <c r="Y190" s="1"/>
    </row>
    <row r="191">
      <c r="O191" s="1"/>
      <c r="T191" s="1"/>
      <c r="Y191" s="1"/>
    </row>
    <row r="192">
      <c r="O192" s="1"/>
      <c r="T192" s="1"/>
      <c r="Y192" s="1"/>
    </row>
    <row r="193">
      <c r="O193" s="1"/>
      <c r="T193" s="1"/>
      <c r="Y193" s="1"/>
    </row>
    <row r="194">
      <c r="O194" s="1"/>
      <c r="T194" s="1"/>
      <c r="Y194" s="1"/>
    </row>
    <row r="195">
      <c r="O195" s="1"/>
      <c r="T195" s="1"/>
      <c r="Y195" s="1"/>
    </row>
    <row r="196">
      <c r="O196" s="1"/>
      <c r="T196" s="1"/>
      <c r="Y196" s="1"/>
    </row>
    <row r="197">
      <c r="O197" s="1"/>
      <c r="T197" s="1"/>
      <c r="Y197" s="1"/>
    </row>
    <row r="198">
      <c r="O198" s="1"/>
      <c r="T198" s="1"/>
      <c r="Y198" s="1"/>
    </row>
    <row r="199">
      <c r="O199" s="1"/>
      <c r="T199" s="1"/>
      <c r="Y199" s="1"/>
    </row>
    <row r="200">
      <c r="O200" s="1"/>
      <c r="T200" s="1"/>
      <c r="Y200" s="1"/>
    </row>
    <row r="201">
      <c r="O201" s="1"/>
      <c r="T201" s="1"/>
      <c r="Y201" s="1"/>
    </row>
    <row r="202">
      <c r="O202" s="1"/>
      <c r="T202" s="1"/>
      <c r="Y202" s="1"/>
    </row>
    <row r="203">
      <c r="O203" s="1"/>
      <c r="T203" s="1"/>
      <c r="Y203" s="1"/>
    </row>
    <row r="204">
      <c r="O204" s="1"/>
      <c r="T204" s="1"/>
      <c r="Y204" s="1"/>
    </row>
    <row r="205">
      <c r="O205" s="1"/>
      <c r="T205" s="1"/>
      <c r="Y205" s="1"/>
    </row>
    <row r="206">
      <c r="O206" s="1"/>
      <c r="T206" s="1"/>
      <c r="Y206" s="1"/>
    </row>
    <row r="207">
      <c r="O207" s="1"/>
      <c r="T207" s="1"/>
      <c r="Y207" s="1"/>
    </row>
    <row r="208">
      <c r="O208" s="1"/>
      <c r="T208" s="1"/>
      <c r="Y208" s="1"/>
    </row>
    <row r="209">
      <c r="O209" s="1"/>
      <c r="T209" s="1"/>
      <c r="Y209" s="1"/>
    </row>
    <row r="210">
      <c r="O210" s="1"/>
      <c r="T210" s="1"/>
      <c r="Y210" s="1"/>
    </row>
    <row r="211">
      <c r="O211" s="1"/>
      <c r="T211" s="1"/>
      <c r="Y211" s="1"/>
    </row>
    <row r="212">
      <c r="O212" s="1"/>
      <c r="T212" s="1"/>
      <c r="Y212" s="1"/>
    </row>
    <row r="213">
      <c r="O213" s="1"/>
      <c r="T213" s="1"/>
      <c r="Y213" s="1"/>
    </row>
    <row r="214">
      <c r="O214" s="1"/>
      <c r="T214" s="1"/>
      <c r="Y214" s="1"/>
    </row>
    <row r="215">
      <c r="O215" s="1"/>
      <c r="T215" s="1"/>
      <c r="Y215" s="1"/>
    </row>
    <row r="216">
      <c r="O216" s="1"/>
      <c r="T216" s="1"/>
      <c r="Y216" s="1"/>
    </row>
    <row r="217">
      <c r="O217" s="1"/>
      <c r="T217" s="1"/>
      <c r="Y217" s="1"/>
    </row>
    <row r="218">
      <c r="O218" s="1"/>
      <c r="T218" s="1"/>
      <c r="Y218" s="1"/>
    </row>
    <row r="219">
      <c r="O219" s="1"/>
      <c r="T219" s="1"/>
      <c r="Y219" s="1"/>
    </row>
    <row r="220">
      <c r="O220" s="1"/>
      <c r="T220" s="1"/>
      <c r="Y220" s="1"/>
    </row>
    <row r="221">
      <c r="O221" s="1"/>
      <c r="T221" s="1"/>
      <c r="Y221" s="1"/>
    </row>
    <row r="222">
      <c r="O222" s="1"/>
      <c r="T222" s="1"/>
      <c r="Y222" s="1"/>
    </row>
    <row r="223">
      <c r="O223" s="1"/>
      <c r="T223" s="1"/>
      <c r="Y223" s="1"/>
    </row>
    <row r="224">
      <c r="O224" s="1"/>
      <c r="T224" s="1"/>
      <c r="Y224" s="1"/>
    </row>
    <row r="225">
      <c r="O225" s="1"/>
      <c r="T225" s="1"/>
      <c r="Y225" s="1"/>
    </row>
    <row r="226">
      <c r="O226" s="1"/>
      <c r="T226" s="1"/>
      <c r="Y226" s="1"/>
    </row>
    <row r="227">
      <c r="O227" s="1"/>
      <c r="T227" s="1"/>
      <c r="Y227" s="1"/>
    </row>
    <row r="228">
      <c r="O228" s="1"/>
      <c r="T228" s="1"/>
      <c r="Y228" s="1"/>
    </row>
    <row r="229">
      <c r="O229" s="1"/>
      <c r="T229" s="1"/>
      <c r="Y229" s="1"/>
    </row>
    <row r="230">
      <c r="O230" s="1"/>
      <c r="T230" s="1"/>
      <c r="Y230" s="1"/>
    </row>
    <row r="231">
      <c r="O231" s="1"/>
      <c r="T231" s="1"/>
      <c r="Y231" s="1"/>
    </row>
    <row r="232">
      <c r="O232" s="1"/>
      <c r="T232" s="1"/>
      <c r="Y232" s="1"/>
    </row>
    <row r="233">
      <c r="O233" s="1"/>
      <c r="T233" s="1"/>
      <c r="Y233" s="1"/>
    </row>
    <row r="234">
      <c r="O234" s="1"/>
      <c r="T234" s="1"/>
      <c r="Y234" s="1"/>
    </row>
    <row r="235">
      <c r="O235" s="1"/>
      <c r="T235" s="1"/>
      <c r="Y235" s="1"/>
    </row>
    <row r="236">
      <c r="O236" s="1"/>
      <c r="T236" s="1"/>
      <c r="Y236" s="1"/>
    </row>
    <row r="237">
      <c r="O237" s="1"/>
      <c r="T237" s="1"/>
      <c r="Y237" s="1"/>
    </row>
    <row r="238">
      <c r="O238" s="1"/>
      <c r="T238" s="1"/>
      <c r="Y238" s="1"/>
    </row>
    <row r="239">
      <c r="O239" s="1"/>
      <c r="T239" s="1"/>
      <c r="Y239" s="1"/>
    </row>
    <row r="240">
      <c r="O240" s="1"/>
      <c r="T240" s="1"/>
      <c r="Y240" s="1"/>
    </row>
    <row r="241">
      <c r="O241" s="1"/>
      <c r="T241" s="1"/>
      <c r="Y241" s="1"/>
    </row>
    <row r="242">
      <c r="O242" s="1"/>
      <c r="T242" s="1"/>
      <c r="Y242" s="1"/>
    </row>
    <row r="243">
      <c r="O243" s="1"/>
      <c r="T243" s="1"/>
      <c r="Y243" s="1"/>
    </row>
    <row r="244">
      <c r="O244" s="1"/>
      <c r="T244" s="1"/>
      <c r="Y244" s="1"/>
    </row>
    <row r="245">
      <c r="O245" s="1"/>
      <c r="T245" s="1"/>
      <c r="Y245" s="1"/>
    </row>
    <row r="246">
      <c r="O246" s="1"/>
      <c r="T246" s="1"/>
      <c r="Y246" s="1"/>
    </row>
    <row r="247">
      <c r="O247" s="1"/>
      <c r="T247" s="1"/>
      <c r="Y247" s="1"/>
    </row>
    <row r="248">
      <c r="O248" s="1"/>
      <c r="T248" s="1"/>
      <c r="Y248" s="1"/>
    </row>
    <row r="249">
      <c r="O249" s="1"/>
      <c r="T249" s="1"/>
      <c r="Y249" s="1"/>
    </row>
    <row r="250">
      <c r="O250" s="1"/>
      <c r="T250" s="1"/>
      <c r="Y250" s="1"/>
    </row>
    <row r="251">
      <c r="O251" s="1"/>
      <c r="T251" s="1"/>
      <c r="Y251" s="1"/>
    </row>
    <row r="252">
      <c r="O252" s="1"/>
      <c r="T252" s="1"/>
      <c r="Y252" s="1"/>
    </row>
    <row r="253">
      <c r="O253" s="1"/>
      <c r="T253" s="1"/>
      <c r="Y253" s="1"/>
    </row>
    <row r="254">
      <c r="O254" s="1"/>
      <c r="T254" s="1"/>
      <c r="Y254" s="1"/>
    </row>
    <row r="255">
      <c r="O255" s="1"/>
      <c r="T255" s="1"/>
      <c r="Y255" s="1"/>
    </row>
    <row r="256">
      <c r="O256" s="1"/>
      <c r="T256" s="1"/>
      <c r="Y256" s="1"/>
    </row>
    <row r="257">
      <c r="O257" s="1"/>
      <c r="T257" s="1"/>
      <c r="Y257" s="1"/>
    </row>
    <row r="258">
      <c r="O258" s="1"/>
      <c r="T258" s="1"/>
      <c r="Y258" s="1"/>
    </row>
    <row r="259">
      <c r="O259" s="1"/>
      <c r="T259" s="1"/>
      <c r="Y259" s="1"/>
    </row>
    <row r="260">
      <c r="O260" s="1"/>
      <c r="T260" s="1"/>
      <c r="Y260" s="1"/>
    </row>
    <row r="261">
      <c r="O261" s="1"/>
      <c r="T261" s="1"/>
      <c r="Y261" s="1"/>
    </row>
    <row r="262">
      <c r="O262" s="1"/>
      <c r="T262" s="1"/>
      <c r="Y262" s="1"/>
    </row>
    <row r="263">
      <c r="O263" s="1"/>
      <c r="T263" s="1"/>
      <c r="Y263" s="1"/>
    </row>
    <row r="264">
      <c r="O264" s="1"/>
      <c r="T264" s="1"/>
      <c r="Y264" s="1"/>
    </row>
    <row r="265">
      <c r="O265" s="1"/>
      <c r="T265" s="1"/>
      <c r="Y265" s="1"/>
    </row>
    <row r="266">
      <c r="O266" s="1"/>
      <c r="T266" s="1"/>
      <c r="Y266" s="1"/>
    </row>
    <row r="267">
      <c r="O267" s="1"/>
      <c r="T267" s="1"/>
      <c r="Y267" s="1"/>
    </row>
    <row r="268">
      <c r="O268" s="1"/>
      <c r="T268" s="1"/>
      <c r="Y268" s="1"/>
    </row>
    <row r="269">
      <c r="O269" s="1"/>
      <c r="T269" s="1"/>
      <c r="Y269" s="1"/>
    </row>
    <row r="270">
      <c r="O270" s="1"/>
      <c r="T270" s="1"/>
      <c r="Y270" s="1"/>
    </row>
    <row r="271">
      <c r="O271" s="1"/>
      <c r="T271" s="1"/>
      <c r="Y271" s="1"/>
    </row>
    <row r="272">
      <c r="O272" s="1"/>
      <c r="T272" s="1"/>
      <c r="Y272" s="1"/>
    </row>
    <row r="273">
      <c r="O273" s="1"/>
      <c r="T273" s="1"/>
      <c r="Y273" s="1"/>
    </row>
    <row r="274">
      <c r="O274" s="1"/>
      <c r="T274" s="1"/>
      <c r="Y274" s="1"/>
    </row>
    <row r="275">
      <c r="O275" s="1"/>
      <c r="T275" s="1"/>
      <c r="Y275" s="1"/>
    </row>
    <row r="276">
      <c r="O276" s="1"/>
      <c r="T276" s="1"/>
      <c r="Y276" s="1"/>
    </row>
    <row r="277">
      <c r="O277" s="1"/>
      <c r="T277" s="1"/>
      <c r="Y277" s="1"/>
    </row>
    <row r="278">
      <c r="O278" s="1"/>
      <c r="T278" s="1"/>
      <c r="Y278" s="1"/>
    </row>
    <row r="279">
      <c r="O279" s="1"/>
      <c r="T279" s="1"/>
      <c r="Y279" s="1"/>
    </row>
    <row r="280">
      <c r="O280" s="1"/>
      <c r="T280" s="1"/>
      <c r="Y280" s="1"/>
    </row>
    <row r="281">
      <c r="O281" s="1"/>
      <c r="T281" s="1"/>
      <c r="Y281" s="1"/>
    </row>
    <row r="282">
      <c r="O282" s="1"/>
      <c r="T282" s="1"/>
      <c r="Y282" s="1"/>
    </row>
    <row r="283">
      <c r="O283" s="1"/>
      <c r="T283" s="1"/>
      <c r="Y283" s="1"/>
    </row>
    <row r="284">
      <c r="O284" s="1"/>
      <c r="T284" s="1"/>
      <c r="Y284" s="1"/>
    </row>
    <row r="285">
      <c r="O285" s="1"/>
      <c r="T285" s="1"/>
      <c r="Y285" s="1"/>
    </row>
    <row r="286">
      <c r="O286" s="1"/>
      <c r="T286" s="1"/>
      <c r="Y286" s="1"/>
    </row>
    <row r="287">
      <c r="O287" s="1"/>
      <c r="T287" s="1"/>
      <c r="Y287" s="1"/>
    </row>
    <row r="288">
      <c r="O288" s="1"/>
      <c r="T288" s="1"/>
      <c r="Y288" s="1"/>
    </row>
    <row r="289">
      <c r="O289" s="1"/>
      <c r="T289" s="1"/>
      <c r="Y289" s="1"/>
    </row>
    <row r="290">
      <c r="O290" s="1"/>
      <c r="T290" s="1"/>
      <c r="Y290" s="1"/>
    </row>
    <row r="291">
      <c r="O291" s="1"/>
      <c r="T291" s="1"/>
      <c r="Y291" s="1"/>
    </row>
    <row r="292">
      <c r="O292" s="1"/>
      <c r="T292" s="1"/>
      <c r="Y292" s="1"/>
    </row>
    <row r="293">
      <c r="O293" s="1"/>
      <c r="T293" s="1"/>
      <c r="Y293" s="1"/>
    </row>
    <row r="294">
      <c r="O294" s="1"/>
      <c r="T294" s="1"/>
      <c r="Y294" s="1"/>
    </row>
    <row r="295">
      <c r="O295" s="1"/>
      <c r="T295" s="1"/>
      <c r="Y295" s="1"/>
    </row>
    <row r="296">
      <c r="O296" s="1"/>
      <c r="T296" s="1"/>
      <c r="Y296" s="1"/>
    </row>
    <row r="297">
      <c r="O297" s="1"/>
      <c r="T297" s="1"/>
      <c r="Y297" s="1"/>
    </row>
    <row r="298">
      <c r="O298" s="1"/>
      <c r="T298" s="1"/>
      <c r="Y298" s="1"/>
    </row>
    <row r="299">
      <c r="O299" s="1"/>
      <c r="T299" s="1"/>
      <c r="Y299" s="1"/>
    </row>
    <row r="300">
      <c r="O300" s="1"/>
      <c r="T300" s="1"/>
      <c r="Y300" s="1"/>
    </row>
    <row r="301">
      <c r="O301" s="1"/>
      <c r="T301" s="1"/>
      <c r="Y301" s="1"/>
    </row>
    <row r="302">
      <c r="O302" s="1"/>
      <c r="T302" s="1"/>
      <c r="Y302" s="1"/>
    </row>
    <row r="303">
      <c r="O303" s="1"/>
      <c r="T303" s="1"/>
      <c r="Y303" s="1"/>
    </row>
    <row r="304">
      <c r="O304" s="1"/>
      <c r="T304" s="1"/>
      <c r="Y304" s="1"/>
    </row>
    <row r="305">
      <c r="O305" s="1"/>
      <c r="T305" s="1"/>
      <c r="Y305" s="1"/>
    </row>
    <row r="306">
      <c r="O306" s="1"/>
      <c r="T306" s="1"/>
      <c r="Y306" s="1"/>
    </row>
    <row r="307">
      <c r="O307" s="1"/>
      <c r="T307" s="1"/>
      <c r="Y307" s="1"/>
    </row>
    <row r="308">
      <c r="O308" s="1"/>
      <c r="T308" s="1"/>
      <c r="Y308" s="1"/>
    </row>
    <row r="309">
      <c r="O309" s="1"/>
      <c r="T309" s="1"/>
      <c r="Y309" s="1"/>
    </row>
    <row r="310">
      <c r="O310" s="1"/>
      <c r="T310" s="1"/>
      <c r="Y310" s="1"/>
    </row>
    <row r="311">
      <c r="O311" s="1"/>
      <c r="T311" s="1"/>
      <c r="Y311" s="1"/>
    </row>
    <row r="312">
      <c r="O312" s="1"/>
      <c r="T312" s="1"/>
      <c r="Y312" s="1"/>
    </row>
    <row r="313">
      <c r="O313" s="1"/>
      <c r="T313" s="1"/>
      <c r="Y313" s="1"/>
    </row>
    <row r="314">
      <c r="O314" s="1"/>
      <c r="T314" s="1"/>
      <c r="Y314" s="1"/>
    </row>
    <row r="315">
      <c r="O315" s="1"/>
      <c r="T315" s="1"/>
      <c r="Y315" s="1"/>
    </row>
    <row r="316">
      <c r="O316" s="1"/>
      <c r="T316" s="1"/>
      <c r="Y316" s="1"/>
    </row>
    <row r="317">
      <c r="O317" s="1"/>
      <c r="T317" s="1"/>
      <c r="Y317" s="1"/>
    </row>
    <row r="318">
      <c r="O318" s="1"/>
      <c r="T318" s="1"/>
      <c r="Y318" s="1"/>
    </row>
    <row r="319">
      <c r="O319" s="1"/>
      <c r="T319" s="1"/>
      <c r="Y319" s="1"/>
    </row>
    <row r="320">
      <c r="O320" s="1"/>
      <c r="T320" s="1"/>
      <c r="Y320" s="1"/>
    </row>
    <row r="321">
      <c r="O321" s="1"/>
      <c r="T321" s="1"/>
      <c r="Y321" s="1"/>
    </row>
    <row r="322">
      <c r="O322" s="1"/>
      <c r="T322" s="1"/>
      <c r="Y322" s="1"/>
    </row>
    <row r="323">
      <c r="O323" s="1"/>
      <c r="T323" s="1"/>
      <c r="Y323" s="1"/>
    </row>
    <row r="324">
      <c r="O324" s="1"/>
      <c r="T324" s="1"/>
      <c r="Y324" s="1"/>
    </row>
    <row r="325">
      <c r="O325" s="1"/>
      <c r="T325" s="1"/>
      <c r="Y325" s="1"/>
    </row>
    <row r="326">
      <c r="O326" s="1"/>
      <c r="T326" s="1"/>
      <c r="Y326" s="1"/>
    </row>
    <row r="327">
      <c r="O327" s="1"/>
      <c r="T327" s="1"/>
      <c r="Y327" s="1"/>
    </row>
    <row r="328">
      <c r="O328" s="1"/>
      <c r="T328" s="1"/>
      <c r="Y328" s="1"/>
    </row>
    <row r="329">
      <c r="O329" s="1"/>
      <c r="T329" s="1"/>
      <c r="Y329" s="1"/>
    </row>
    <row r="330">
      <c r="O330" s="1"/>
      <c r="T330" s="1"/>
      <c r="Y330" s="1"/>
    </row>
    <row r="331">
      <c r="O331" s="1"/>
      <c r="T331" s="1"/>
      <c r="Y331" s="1"/>
    </row>
    <row r="332">
      <c r="O332" s="1"/>
      <c r="T332" s="1"/>
      <c r="Y332" s="1"/>
    </row>
    <row r="333">
      <c r="O333" s="1"/>
      <c r="T333" s="1"/>
      <c r="Y333" s="1"/>
    </row>
    <row r="334">
      <c r="O334" s="1"/>
      <c r="T334" s="1"/>
      <c r="Y334" s="1"/>
    </row>
    <row r="335">
      <c r="O335" s="1"/>
      <c r="T335" s="1"/>
      <c r="Y335" s="1"/>
    </row>
    <row r="336">
      <c r="O336" s="1"/>
      <c r="T336" s="1"/>
      <c r="Y336" s="1"/>
    </row>
    <row r="337">
      <c r="O337" s="1"/>
      <c r="T337" s="1"/>
      <c r="Y337" s="1"/>
    </row>
    <row r="338">
      <c r="O338" s="1"/>
      <c r="T338" s="1"/>
      <c r="Y338" s="1"/>
    </row>
    <row r="339">
      <c r="O339" s="1"/>
      <c r="T339" s="1"/>
      <c r="Y339" s="1"/>
    </row>
    <row r="340">
      <c r="O340" s="1"/>
      <c r="T340" s="1"/>
      <c r="Y340" s="1"/>
    </row>
    <row r="341">
      <c r="O341" s="1"/>
      <c r="T341" s="1"/>
      <c r="Y341" s="1"/>
    </row>
    <row r="342">
      <c r="O342" s="1"/>
      <c r="T342" s="1"/>
      <c r="Y342" s="1"/>
    </row>
    <row r="343">
      <c r="O343" s="1"/>
      <c r="T343" s="1"/>
      <c r="Y343" s="1"/>
    </row>
    <row r="344">
      <c r="O344" s="1"/>
      <c r="T344" s="1"/>
      <c r="Y344" s="1"/>
    </row>
    <row r="345">
      <c r="O345" s="1"/>
      <c r="T345" s="1"/>
      <c r="Y345" s="1"/>
    </row>
    <row r="346">
      <c r="O346" s="1"/>
      <c r="T346" s="1"/>
      <c r="Y346" s="1"/>
    </row>
    <row r="347">
      <c r="O347" s="1"/>
      <c r="T347" s="1"/>
      <c r="Y347" s="1"/>
    </row>
    <row r="348">
      <c r="O348" s="1"/>
      <c r="T348" s="1"/>
      <c r="Y348" s="1"/>
    </row>
    <row r="349">
      <c r="O349" s="1"/>
      <c r="T349" s="1"/>
      <c r="Y349" s="1"/>
    </row>
    <row r="350">
      <c r="O350" s="1"/>
      <c r="T350" s="1"/>
      <c r="Y350" s="1"/>
    </row>
    <row r="351">
      <c r="O351" s="1"/>
      <c r="T351" s="1"/>
      <c r="Y351" s="1"/>
    </row>
    <row r="352">
      <c r="O352" s="1"/>
      <c r="T352" s="1"/>
      <c r="Y352" s="1"/>
    </row>
    <row r="353">
      <c r="O353" s="1"/>
      <c r="T353" s="1"/>
      <c r="Y353" s="1"/>
    </row>
    <row r="354">
      <c r="O354" s="1"/>
      <c r="T354" s="1"/>
      <c r="Y354" s="1"/>
    </row>
    <row r="355">
      <c r="O355" s="1"/>
      <c r="T355" s="1"/>
      <c r="Y355" s="1"/>
    </row>
    <row r="356">
      <c r="O356" s="1"/>
      <c r="T356" s="1"/>
      <c r="Y356" s="1"/>
    </row>
    <row r="357">
      <c r="O357" s="1"/>
      <c r="T357" s="1"/>
      <c r="Y357" s="1"/>
    </row>
    <row r="358">
      <c r="O358" s="1"/>
      <c r="T358" s="1"/>
      <c r="Y358" s="1"/>
    </row>
    <row r="359">
      <c r="O359" s="1"/>
      <c r="T359" s="1"/>
      <c r="Y359" s="1"/>
    </row>
    <row r="360">
      <c r="O360" s="1"/>
      <c r="T360" s="1"/>
      <c r="Y360" s="1"/>
    </row>
    <row r="361">
      <c r="O361" s="1"/>
      <c r="T361" s="1"/>
      <c r="Y361" s="1"/>
    </row>
    <row r="362">
      <c r="O362" s="1"/>
      <c r="T362" s="1"/>
      <c r="Y362" s="1"/>
    </row>
    <row r="363">
      <c r="O363" s="1"/>
      <c r="T363" s="1"/>
      <c r="Y363" s="1"/>
    </row>
    <row r="364">
      <c r="O364" s="1"/>
      <c r="T364" s="1"/>
      <c r="Y364" s="1"/>
    </row>
    <row r="365">
      <c r="O365" s="1"/>
      <c r="T365" s="1"/>
      <c r="Y365" s="1"/>
    </row>
    <row r="366">
      <c r="O366" s="1"/>
      <c r="T366" s="1"/>
      <c r="Y366" s="1"/>
    </row>
    <row r="367">
      <c r="O367" s="1"/>
      <c r="T367" s="1"/>
      <c r="Y367" s="1"/>
    </row>
    <row r="368">
      <c r="O368" s="1"/>
      <c r="T368" s="1"/>
      <c r="Y368" s="1"/>
    </row>
    <row r="369">
      <c r="O369" s="1"/>
      <c r="T369" s="1"/>
      <c r="Y369" s="1"/>
    </row>
    <row r="370">
      <c r="O370" s="1"/>
      <c r="T370" s="1"/>
      <c r="Y370" s="1"/>
    </row>
    <row r="371">
      <c r="O371" s="1"/>
      <c r="T371" s="1"/>
      <c r="Y371" s="1"/>
    </row>
    <row r="372">
      <c r="O372" s="1"/>
      <c r="T372" s="1"/>
      <c r="Y372" s="1"/>
    </row>
    <row r="373">
      <c r="O373" s="1"/>
      <c r="T373" s="1"/>
      <c r="Y373" s="1"/>
    </row>
    <row r="374">
      <c r="O374" s="1"/>
      <c r="T374" s="1"/>
      <c r="Y374" s="1"/>
    </row>
    <row r="375">
      <c r="O375" s="1"/>
      <c r="T375" s="1"/>
      <c r="Y375" s="1"/>
    </row>
    <row r="376">
      <c r="O376" s="1"/>
      <c r="T376" s="1"/>
      <c r="Y376" s="1"/>
    </row>
    <row r="377">
      <c r="O377" s="1"/>
      <c r="T377" s="1"/>
      <c r="Y377" s="1"/>
    </row>
    <row r="378">
      <c r="O378" s="1"/>
      <c r="T378" s="1"/>
      <c r="Y378" s="1"/>
    </row>
    <row r="379">
      <c r="O379" s="1"/>
      <c r="T379" s="1"/>
      <c r="Y379" s="1"/>
    </row>
    <row r="380">
      <c r="O380" s="1"/>
      <c r="T380" s="1"/>
      <c r="Y380" s="1"/>
    </row>
    <row r="381">
      <c r="O381" s="1"/>
      <c r="T381" s="1"/>
      <c r="Y381" s="1"/>
    </row>
    <row r="382">
      <c r="O382" s="1"/>
      <c r="T382" s="1"/>
      <c r="Y382" s="1"/>
    </row>
    <row r="383">
      <c r="O383" s="1"/>
      <c r="T383" s="1"/>
      <c r="Y383" s="1"/>
    </row>
    <row r="384">
      <c r="O384" s="1"/>
      <c r="T384" s="1"/>
      <c r="Y384" s="1"/>
    </row>
    <row r="385">
      <c r="O385" s="1"/>
      <c r="T385" s="1"/>
      <c r="Y385" s="1"/>
    </row>
    <row r="386">
      <c r="O386" s="1"/>
      <c r="T386" s="1"/>
      <c r="Y386" s="1"/>
    </row>
    <row r="387">
      <c r="O387" s="1"/>
      <c r="T387" s="1"/>
      <c r="Y387" s="1"/>
    </row>
    <row r="388">
      <c r="O388" s="1"/>
      <c r="T388" s="1"/>
      <c r="Y388" s="1"/>
    </row>
    <row r="389">
      <c r="O389" s="1"/>
      <c r="T389" s="1"/>
      <c r="Y389" s="1"/>
    </row>
    <row r="390">
      <c r="O390" s="1"/>
      <c r="T390" s="1"/>
      <c r="Y390" s="1"/>
    </row>
    <row r="391">
      <c r="O391" s="1"/>
      <c r="T391" s="1"/>
      <c r="Y391" s="1"/>
    </row>
    <row r="392">
      <c r="O392" s="1"/>
      <c r="T392" s="1"/>
      <c r="Y392" s="1"/>
    </row>
    <row r="393">
      <c r="O393" s="1"/>
      <c r="T393" s="1"/>
      <c r="Y393" s="1"/>
    </row>
    <row r="394">
      <c r="O394" s="1"/>
      <c r="T394" s="1"/>
      <c r="Y394" s="1"/>
    </row>
    <row r="395">
      <c r="O395" s="1"/>
      <c r="T395" s="1"/>
      <c r="Y395" s="1"/>
    </row>
    <row r="396">
      <c r="O396" s="1"/>
      <c r="T396" s="1"/>
      <c r="Y396" s="1"/>
    </row>
    <row r="397">
      <c r="O397" s="1"/>
      <c r="T397" s="1"/>
      <c r="Y397" s="1"/>
    </row>
    <row r="398">
      <c r="O398" s="1"/>
      <c r="T398" s="1"/>
      <c r="Y398" s="1"/>
    </row>
    <row r="399">
      <c r="O399" s="1"/>
      <c r="T399" s="1"/>
      <c r="Y399" s="1"/>
    </row>
    <row r="400">
      <c r="O400" s="1"/>
      <c r="T400" s="1"/>
      <c r="Y400" s="1"/>
    </row>
    <row r="401">
      <c r="O401" s="1"/>
      <c r="T401" s="1"/>
      <c r="Y401" s="1"/>
    </row>
    <row r="402">
      <c r="O402" s="1"/>
      <c r="T402" s="1"/>
      <c r="Y402" s="1"/>
    </row>
    <row r="403">
      <c r="O403" s="1"/>
      <c r="T403" s="1"/>
      <c r="Y403" s="1"/>
    </row>
    <row r="404">
      <c r="O404" s="1"/>
      <c r="T404" s="1"/>
      <c r="Y404" s="1"/>
    </row>
    <row r="405">
      <c r="O405" s="1"/>
      <c r="T405" s="1"/>
      <c r="Y405" s="1"/>
    </row>
    <row r="406">
      <c r="O406" s="1"/>
      <c r="T406" s="1"/>
      <c r="Y406" s="1"/>
    </row>
    <row r="407">
      <c r="O407" s="1"/>
      <c r="T407" s="1"/>
      <c r="Y407" s="1"/>
    </row>
    <row r="408">
      <c r="O408" s="1"/>
      <c r="T408" s="1"/>
      <c r="Y408" s="1"/>
    </row>
    <row r="409">
      <c r="O409" s="1"/>
      <c r="T409" s="1"/>
      <c r="Y409" s="1"/>
    </row>
    <row r="410">
      <c r="O410" s="1"/>
      <c r="T410" s="1"/>
      <c r="Y410" s="1"/>
    </row>
    <row r="411">
      <c r="O411" s="1"/>
      <c r="T411" s="1"/>
      <c r="Y411" s="1"/>
    </row>
    <row r="412">
      <c r="O412" s="1"/>
      <c r="T412" s="1"/>
      <c r="Y412" s="1"/>
    </row>
    <row r="413">
      <c r="O413" s="1"/>
      <c r="T413" s="1"/>
      <c r="Y413" s="1"/>
    </row>
    <row r="414">
      <c r="O414" s="1"/>
      <c r="T414" s="1"/>
      <c r="Y414" s="1"/>
    </row>
    <row r="415">
      <c r="O415" s="1"/>
      <c r="T415" s="1"/>
      <c r="Y415" s="1"/>
    </row>
    <row r="416">
      <c r="O416" s="1"/>
      <c r="T416" s="1"/>
      <c r="Y416" s="1"/>
    </row>
    <row r="417">
      <c r="O417" s="1"/>
      <c r="T417" s="1"/>
      <c r="Y417" s="1"/>
    </row>
    <row r="418">
      <c r="O418" s="1"/>
      <c r="T418" s="1"/>
      <c r="Y418" s="1"/>
    </row>
    <row r="419">
      <c r="O419" s="1"/>
      <c r="T419" s="1"/>
      <c r="Y419" s="1"/>
    </row>
    <row r="420">
      <c r="O420" s="1"/>
      <c r="T420" s="1"/>
      <c r="Y420" s="1"/>
    </row>
    <row r="421">
      <c r="O421" s="1"/>
      <c r="T421" s="1"/>
      <c r="Y421" s="1"/>
    </row>
    <row r="422">
      <c r="O422" s="1"/>
      <c r="T422" s="1"/>
      <c r="Y422" s="1"/>
    </row>
    <row r="423">
      <c r="O423" s="1"/>
      <c r="T423" s="1"/>
      <c r="Y423" s="1"/>
    </row>
    <row r="424">
      <c r="O424" s="1"/>
      <c r="T424" s="1"/>
      <c r="Y424" s="1"/>
    </row>
    <row r="425">
      <c r="O425" s="1"/>
      <c r="T425" s="1"/>
      <c r="Y425" s="1"/>
    </row>
    <row r="426">
      <c r="O426" s="1"/>
      <c r="T426" s="1"/>
      <c r="Y426" s="1"/>
    </row>
    <row r="427">
      <c r="O427" s="1"/>
      <c r="T427" s="1"/>
      <c r="Y427" s="1"/>
    </row>
    <row r="428">
      <c r="O428" s="1"/>
      <c r="T428" s="1"/>
      <c r="Y428" s="1"/>
    </row>
    <row r="429">
      <c r="O429" s="1"/>
      <c r="T429" s="1"/>
      <c r="Y429" s="1"/>
    </row>
    <row r="430">
      <c r="O430" s="1"/>
      <c r="T430" s="1"/>
      <c r="Y430" s="1"/>
    </row>
    <row r="431">
      <c r="O431" s="1"/>
      <c r="T431" s="1"/>
      <c r="Y431" s="1"/>
    </row>
    <row r="432">
      <c r="O432" s="1"/>
      <c r="T432" s="1"/>
      <c r="Y432" s="1"/>
    </row>
    <row r="433">
      <c r="O433" s="1"/>
      <c r="T433" s="1"/>
      <c r="Y433" s="1"/>
    </row>
    <row r="434">
      <c r="O434" s="1"/>
      <c r="T434" s="1"/>
      <c r="Y434" s="1"/>
    </row>
    <row r="435">
      <c r="O435" s="1"/>
      <c r="T435" s="1"/>
      <c r="Y435" s="1"/>
    </row>
    <row r="436">
      <c r="O436" s="1"/>
      <c r="T436" s="1"/>
      <c r="Y436" s="1"/>
    </row>
    <row r="437">
      <c r="O437" s="1"/>
      <c r="T437" s="1"/>
      <c r="Y437" s="1"/>
    </row>
    <row r="438">
      <c r="O438" s="1"/>
      <c r="T438" s="1"/>
      <c r="Y438" s="1"/>
    </row>
    <row r="439">
      <c r="O439" s="1"/>
      <c r="T439" s="1"/>
      <c r="Y439" s="1"/>
    </row>
    <row r="440">
      <c r="O440" s="1"/>
      <c r="T440" s="1"/>
      <c r="Y440" s="1"/>
    </row>
    <row r="441">
      <c r="O441" s="1"/>
      <c r="T441" s="1"/>
      <c r="Y441" s="1"/>
    </row>
    <row r="442">
      <c r="O442" s="1"/>
      <c r="T442" s="1"/>
      <c r="Y442" s="1"/>
    </row>
    <row r="443">
      <c r="O443" s="1"/>
      <c r="T443" s="1"/>
      <c r="Y443" s="1"/>
    </row>
    <row r="444">
      <c r="O444" s="1"/>
      <c r="T444" s="1"/>
      <c r="Y444" s="1"/>
    </row>
    <row r="445">
      <c r="O445" s="1"/>
      <c r="T445" s="1"/>
      <c r="Y445" s="1"/>
    </row>
    <row r="446">
      <c r="O446" s="1"/>
      <c r="T446" s="1"/>
      <c r="Y446" s="1"/>
    </row>
    <row r="447">
      <c r="O447" s="1"/>
      <c r="T447" s="1"/>
      <c r="Y447" s="1"/>
    </row>
    <row r="448">
      <c r="O448" s="1"/>
      <c r="T448" s="1"/>
      <c r="Y448" s="1"/>
    </row>
    <row r="449">
      <c r="O449" s="1"/>
      <c r="T449" s="1"/>
      <c r="Y449" s="1"/>
    </row>
    <row r="450">
      <c r="O450" s="1"/>
      <c r="T450" s="1"/>
      <c r="Y450" s="1"/>
    </row>
    <row r="451">
      <c r="O451" s="1"/>
      <c r="T451" s="1"/>
      <c r="Y451" s="1"/>
    </row>
    <row r="452">
      <c r="O452" s="1"/>
      <c r="T452" s="1"/>
      <c r="Y452" s="1"/>
    </row>
    <row r="453">
      <c r="O453" s="1"/>
      <c r="T453" s="1"/>
      <c r="Y453" s="1"/>
    </row>
    <row r="454">
      <c r="O454" s="1"/>
      <c r="T454" s="1"/>
      <c r="Y454" s="1"/>
    </row>
    <row r="455">
      <c r="O455" s="1"/>
      <c r="T455" s="1"/>
      <c r="Y455" s="1"/>
    </row>
    <row r="456">
      <c r="O456" s="1"/>
      <c r="T456" s="1"/>
      <c r="Y456" s="1"/>
    </row>
    <row r="457">
      <c r="O457" s="1"/>
      <c r="T457" s="1"/>
      <c r="Y457" s="1"/>
    </row>
    <row r="458">
      <c r="O458" s="1"/>
      <c r="T458" s="1"/>
      <c r="Y458" s="1"/>
    </row>
    <row r="459">
      <c r="O459" s="1"/>
      <c r="T459" s="1"/>
      <c r="Y459" s="1"/>
    </row>
    <row r="460">
      <c r="O460" s="1"/>
      <c r="T460" s="1"/>
      <c r="Y460" s="1"/>
    </row>
    <row r="461">
      <c r="O461" s="1"/>
      <c r="T461" s="1"/>
      <c r="Y461" s="1"/>
    </row>
    <row r="462">
      <c r="O462" s="1"/>
      <c r="T462" s="1"/>
      <c r="Y462" s="1"/>
    </row>
    <row r="463">
      <c r="O463" s="1"/>
      <c r="T463" s="1"/>
      <c r="Y463" s="1"/>
    </row>
    <row r="464">
      <c r="O464" s="1"/>
      <c r="T464" s="1"/>
      <c r="Y464" s="1"/>
    </row>
    <row r="465">
      <c r="O465" s="1"/>
      <c r="T465" s="1"/>
      <c r="Y465" s="1"/>
    </row>
    <row r="466">
      <c r="O466" s="1"/>
      <c r="T466" s="1"/>
      <c r="Y466" s="1"/>
    </row>
    <row r="467">
      <c r="O467" s="1"/>
      <c r="T467" s="1"/>
      <c r="Y467" s="1"/>
    </row>
    <row r="468">
      <c r="O468" s="1"/>
      <c r="T468" s="1"/>
      <c r="Y468" s="1"/>
    </row>
    <row r="469">
      <c r="O469" s="1"/>
      <c r="T469" s="1"/>
      <c r="Y469" s="1"/>
    </row>
    <row r="470">
      <c r="O470" s="1"/>
      <c r="T470" s="1"/>
      <c r="Y470" s="1"/>
    </row>
    <row r="471">
      <c r="O471" s="1"/>
      <c r="T471" s="1"/>
      <c r="Y471" s="1"/>
    </row>
    <row r="472">
      <c r="O472" s="1"/>
      <c r="T472" s="1"/>
      <c r="Y472" s="1"/>
    </row>
    <row r="473">
      <c r="O473" s="1"/>
      <c r="T473" s="1"/>
      <c r="Y473" s="1"/>
    </row>
    <row r="474">
      <c r="O474" s="1"/>
      <c r="T474" s="1"/>
      <c r="Y474" s="1"/>
    </row>
    <row r="475">
      <c r="O475" s="1"/>
      <c r="T475" s="1"/>
      <c r="Y475" s="1"/>
    </row>
    <row r="476">
      <c r="O476" s="1"/>
      <c r="T476" s="1"/>
      <c r="Y476" s="1"/>
    </row>
    <row r="477">
      <c r="O477" s="1"/>
      <c r="T477" s="1"/>
      <c r="Y477" s="1"/>
    </row>
    <row r="478">
      <c r="O478" s="1"/>
      <c r="T478" s="1"/>
      <c r="Y478" s="1"/>
    </row>
    <row r="479">
      <c r="O479" s="1"/>
      <c r="T479" s="1"/>
      <c r="Y479" s="1"/>
    </row>
    <row r="480">
      <c r="O480" s="1"/>
      <c r="T480" s="1"/>
      <c r="Y480" s="1"/>
    </row>
    <row r="481">
      <c r="O481" s="1"/>
      <c r="T481" s="1"/>
      <c r="Y481" s="1"/>
    </row>
    <row r="482">
      <c r="O482" s="1"/>
      <c r="T482" s="1"/>
      <c r="Y482" s="1"/>
    </row>
    <row r="483">
      <c r="O483" s="1"/>
      <c r="T483" s="1"/>
      <c r="Y483" s="1"/>
    </row>
    <row r="484">
      <c r="O484" s="1"/>
      <c r="T484" s="1"/>
      <c r="Y484" s="1"/>
    </row>
    <row r="485">
      <c r="O485" s="1"/>
      <c r="T485" s="1"/>
      <c r="Y485" s="1"/>
    </row>
    <row r="486">
      <c r="O486" s="1"/>
      <c r="T486" s="1"/>
      <c r="Y486" s="1"/>
    </row>
    <row r="487">
      <c r="O487" s="1"/>
      <c r="T487" s="1"/>
      <c r="Y487" s="1"/>
    </row>
    <row r="488">
      <c r="O488" s="1"/>
      <c r="T488" s="1"/>
      <c r="Y488" s="1"/>
    </row>
    <row r="489">
      <c r="O489" s="1"/>
      <c r="T489" s="1"/>
      <c r="Y489" s="1"/>
    </row>
    <row r="490">
      <c r="O490" s="1"/>
      <c r="T490" s="1"/>
      <c r="Y490" s="1"/>
    </row>
    <row r="491">
      <c r="O491" s="1"/>
      <c r="T491" s="1"/>
      <c r="Y491" s="1"/>
    </row>
    <row r="492">
      <c r="O492" s="1"/>
      <c r="T492" s="1"/>
      <c r="Y492" s="1"/>
    </row>
    <row r="493">
      <c r="O493" s="1"/>
      <c r="T493" s="1"/>
      <c r="Y493" s="1"/>
    </row>
    <row r="494">
      <c r="O494" s="1"/>
      <c r="T494" s="1"/>
      <c r="Y494" s="1"/>
    </row>
    <row r="495">
      <c r="O495" s="1"/>
      <c r="T495" s="1"/>
      <c r="Y495" s="1"/>
    </row>
    <row r="496">
      <c r="O496" s="1"/>
      <c r="T496" s="1"/>
      <c r="Y496" s="1"/>
    </row>
    <row r="497">
      <c r="O497" s="1"/>
      <c r="T497" s="1"/>
      <c r="Y497" s="1"/>
    </row>
    <row r="498">
      <c r="O498" s="1"/>
      <c r="T498" s="1"/>
      <c r="Y498" s="1"/>
    </row>
    <row r="499">
      <c r="O499" s="1"/>
      <c r="T499" s="1"/>
      <c r="Y499" s="1"/>
    </row>
    <row r="500">
      <c r="O500" s="1"/>
      <c r="T500" s="1"/>
      <c r="Y500" s="1"/>
    </row>
    <row r="501">
      <c r="O501" s="1"/>
      <c r="T501" s="1"/>
      <c r="Y501" s="1"/>
    </row>
    <row r="502">
      <c r="O502" s="1"/>
      <c r="T502" s="1"/>
      <c r="Y502" s="1"/>
    </row>
    <row r="503">
      <c r="O503" s="1"/>
      <c r="T503" s="1"/>
      <c r="Y503" s="1"/>
    </row>
    <row r="504">
      <c r="O504" s="1"/>
      <c r="T504" s="1"/>
      <c r="Y504" s="1"/>
    </row>
    <row r="505">
      <c r="O505" s="1"/>
      <c r="T505" s="1"/>
      <c r="Y505" s="1"/>
    </row>
    <row r="506">
      <c r="O506" s="1"/>
      <c r="T506" s="1"/>
      <c r="Y506" s="1"/>
    </row>
    <row r="507">
      <c r="O507" s="1"/>
      <c r="T507" s="1"/>
      <c r="Y507" s="1"/>
    </row>
    <row r="508">
      <c r="O508" s="1"/>
      <c r="T508" s="1"/>
      <c r="Y508" s="1"/>
    </row>
    <row r="509">
      <c r="O509" s="1"/>
      <c r="T509" s="1"/>
      <c r="Y509" s="1"/>
    </row>
    <row r="510">
      <c r="O510" s="1"/>
      <c r="T510" s="1"/>
      <c r="Y510" s="1"/>
    </row>
    <row r="511">
      <c r="O511" s="1"/>
      <c r="T511" s="1"/>
      <c r="Y511" s="1"/>
    </row>
    <row r="512">
      <c r="O512" s="1"/>
      <c r="T512" s="1"/>
      <c r="Y512" s="1"/>
    </row>
    <row r="513">
      <c r="O513" s="1"/>
      <c r="T513" s="1"/>
      <c r="Y513" s="1"/>
    </row>
    <row r="514">
      <c r="O514" s="1"/>
      <c r="T514" s="1"/>
      <c r="Y514" s="1"/>
    </row>
    <row r="515">
      <c r="O515" s="1"/>
      <c r="T515" s="1"/>
      <c r="Y515" s="1"/>
    </row>
    <row r="516">
      <c r="O516" s="1"/>
      <c r="T516" s="1"/>
      <c r="Y516" s="1"/>
    </row>
    <row r="517">
      <c r="O517" s="1"/>
      <c r="T517" s="1"/>
      <c r="Y517" s="1"/>
    </row>
    <row r="518">
      <c r="O518" s="1"/>
      <c r="T518" s="1"/>
      <c r="Y518" s="1"/>
    </row>
    <row r="519">
      <c r="O519" s="1"/>
      <c r="T519" s="1"/>
      <c r="Y519" s="1"/>
    </row>
    <row r="520">
      <c r="O520" s="1"/>
      <c r="T520" s="1"/>
      <c r="Y520" s="1"/>
    </row>
    <row r="521">
      <c r="O521" s="1"/>
      <c r="T521" s="1"/>
      <c r="Y521" s="1"/>
    </row>
    <row r="522">
      <c r="O522" s="1"/>
      <c r="T522" s="1"/>
      <c r="Y522" s="1"/>
    </row>
    <row r="523">
      <c r="O523" s="1"/>
      <c r="T523" s="1"/>
      <c r="Y523" s="1"/>
    </row>
    <row r="524">
      <c r="O524" s="1"/>
      <c r="T524" s="1"/>
      <c r="Y524" s="1"/>
    </row>
    <row r="525">
      <c r="O525" s="1"/>
      <c r="T525" s="1"/>
      <c r="Y525" s="1"/>
    </row>
    <row r="526">
      <c r="O526" s="1"/>
      <c r="T526" s="1"/>
      <c r="Y526" s="1"/>
    </row>
    <row r="527">
      <c r="O527" s="1"/>
      <c r="T527" s="1"/>
      <c r="Y527" s="1"/>
    </row>
    <row r="528">
      <c r="O528" s="1"/>
      <c r="T528" s="1"/>
      <c r="Y528" s="1"/>
    </row>
    <row r="529">
      <c r="O529" s="1"/>
      <c r="T529" s="1"/>
      <c r="Y529" s="1"/>
    </row>
    <row r="530">
      <c r="O530" s="1"/>
      <c r="T530" s="1"/>
      <c r="Y530" s="1"/>
    </row>
    <row r="531">
      <c r="O531" s="1"/>
      <c r="T531" s="1"/>
      <c r="Y531" s="1"/>
    </row>
    <row r="532">
      <c r="O532" s="1"/>
      <c r="T532" s="1"/>
      <c r="Y532" s="1"/>
    </row>
    <row r="533">
      <c r="O533" s="1"/>
      <c r="T533" s="1"/>
      <c r="Y533" s="1"/>
    </row>
    <row r="534">
      <c r="O534" s="1"/>
      <c r="T534" s="1"/>
      <c r="Y534" s="1"/>
    </row>
    <row r="535">
      <c r="O535" s="1"/>
      <c r="T535" s="1"/>
      <c r="Y535" s="1"/>
    </row>
    <row r="536">
      <c r="O536" s="1"/>
      <c r="T536" s="1"/>
      <c r="Y536" s="1"/>
    </row>
    <row r="537">
      <c r="O537" s="1"/>
      <c r="T537" s="1"/>
      <c r="Y537" s="1"/>
    </row>
    <row r="538">
      <c r="O538" s="1"/>
      <c r="T538" s="1"/>
      <c r="Y538" s="1"/>
    </row>
    <row r="539">
      <c r="O539" s="1"/>
      <c r="T539" s="1"/>
      <c r="Y539" s="1"/>
    </row>
    <row r="540">
      <c r="O540" s="1"/>
      <c r="T540" s="1"/>
      <c r="Y540" s="1"/>
    </row>
    <row r="541">
      <c r="O541" s="1"/>
      <c r="T541" s="1"/>
      <c r="Y541" s="1"/>
    </row>
    <row r="542">
      <c r="O542" s="1"/>
      <c r="T542" s="1"/>
      <c r="Y542" s="1"/>
    </row>
    <row r="543">
      <c r="O543" s="1"/>
      <c r="T543" s="1"/>
      <c r="Y543" s="1"/>
    </row>
    <row r="544">
      <c r="O544" s="1"/>
      <c r="T544" s="1"/>
      <c r="Y544" s="1"/>
    </row>
    <row r="545">
      <c r="O545" s="1"/>
      <c r="T545" s="1"/>
      <c r="Y545" s="1"/>
    </row>
    <row r="546">
      <c r="O546" s="1"/>
      <c r="T546" s="1"/>
      <c r="Y546" s="1"/>
    </row>
    <row r="547">
      <c r="O547" s="1"/>
      <c r="T547" s="1"/>
      <c r="Y547" s="1"/>
    </row>
    <row r="548">
      <c r="O548" s="1"/>
      <c r="T548" s="1"/>
      <c r="Y548" s="1"/>
    </row>
    <row r="549">
      <c r="O549" s="1"/>
      <c r="T549" s="1"/>
      <c r="Y549" s="1"/>
    </row>
    <row r="550">
      <c r="O550" s="1"/>
      <c r="T550" s="1"/>
      <c r="Y550" s="1"/>
    </row>
    <row r="551">
      <c r="O551" s="1"/>
      <c r="T551" s="1"/>
      <c r="Y551" s="1"/>
    </row>
    <row r="552">
      <c r="O552" s="1"/>
      <c r="T552" s="1"/>
      <c r="Y552" s="1"/>
    </row>
    <row r="553">
      <c r="O553" s="1"/>
      <c r="T553" s="1"/>
      <c r="Y553" s="1"/>
    </row>
    <row r="554">
      <c r="O554" s="1"/>
      <c r="T554" s="1"/>
      <c r="Y554" s="1"/>
    </row>
    <row r="555">
      <c r="O555" s="1"/>
      <c r="T555" s="1"/>
      <c r="Y555" s="1"/>
    </row>
    <row r="556">
      <c r="O556" s="1"/>
      <c r="T556" s="1"/>
      <c r="Y556" s="1"/>
    </row>
    <row r="557">
      <c r="O557" s="1"/>
      <c r="T557" s="1"/>
      <c r="Y557" s="1"/>
    </row>
    <row r="558">
      <c r="O558" s="1"/>
      <c r="T558" s="1"/>
      <c r="Y558" s="1"/>
    </row>
    <row r="559">
      <c r="O559" s="1"/>
      <c r="T559" s="1"/>
      <c r="Y559" s="1"/>
    </row>
    <row r="560">
      <c r="O560" s="1"/>
      <c r="T560" s="1"/>
      <c r="Y560" s="1"/>
    </row>
    <row r="561">
      <c r="O561" s="1"/>
      <c r="T561" s="1"/>
      <c r="Y561" s="1"/>
    </row>
    <row r="562">
      <c r="O562" s="1"/>
      <c r="T562" s="1"/>
      <c r="Y562" s="1"/>
    </row>
    <row r="563">
      <c r="O563" s="1"/>
      <c r="T563" s="1"/>
      <c r="Y563" s="1"/>
    </row>
    <row r="564">
      <c r="O564" s="1"/>
      <c r="T564" s="1"/>
      <c r="Y564" s="1"/>
    </row>
    <row r="565">
      <c r="O565" s="1"/>
      <c r="T565" s="1"/>
      <c r="Y565" s="1"/>
    </row>
    <row r="566">
      <c r="O566" s="1"/>
      <c r="T566" s="1"/>
      <c r="Y566" s="1"/>
    </row>
    <row r="567">
      <c r="O567" s="1"/>
      <c r="T567" s="1"/>
      <c r="Y567" s="1"/>
    </row>
    <row r="568">
      <c r="O568" s="1"/>
      <c r="T568" s="1"/>
      <c r="Y568" s="1"/>
    </row>
    <row r="569">
      <c r="O569" s="1"/>
      <c r="T569" s="1"/>
      <c r="Y569" s="1"/>
    </row>
    <row r="570">
      <c r="O570" s="1"/>
      <c r="T570" s="1"/>
      <c r="Y570" s="1"/>
    </row>
    <row r="571">
      <c r="O571" s="1"/>
      <c r="T571" s="1"/>
      <c r="Y571" s="1"/>
    </row>
    <row r="572">
      <c r="O572" s="1"/>
      <c r="T572" s="1"/>
      <c r="Y572" s="1"/>
    </row>
    <row r="573">
      <c r="O573" s="1"/>
      <c r="T573" s="1"/>
      <c r="Y573" s="1"/>
    </row>
    <row r="574">
      <c r="O574" s="1"/>
      <c r="T574" s="1"/>
      <c r="Y574" s="1"/>
    </row>
    <row r="575">
      <c r="O575" s="1"/>
      <c r="T575" s="1"/>
      <c r="Y575" s="1"/>
    </row>
    <row r="576">
      <c r="O576" s="1"/>
      <c r="T576" s="1"/>
      <c r="Y576" s="1"/>
    </row>
    <row r="577">
      <c r="O577" s="1"/>
      <c r="T577" s="1"/>
      <c r="Y577" s="1"/>
    </row>
    <row r="578">
      <c r="O578" s="1"/>
      <c r="T578" s="1"/>
      <c r="Y578" s="1"/>
    </row>
    <row r="579">
      <c r="O579" s="1"/>
      <c r="T579" s="1"/>
      <c r="Y579" s="1"/>
    </row>
    <row r="580">
      <c r="O580" s="1"/>
      <c r="T580" s="1"/>
      <c r="Y580" s="1"/>
    </row>
    <row r="581">
      <c r="O581" s="1"/>
      <c r="T581" s="1"/>
      <c r="Y581" s="1"/>
    </row>
    <row r="582">
      <c r="O582" s="1"/>
      <c r="T582" s="1"/>
      <c r="Y582" s="1"/>
    </row>
    <row r="583">
      <c r="O583" s="1"/>
      <c r="T583" s="1"/>
      <c r="Y583" s="1"/>
    </row>
    <row r="584">
      <c r="O584" s="1"/>
      <c r="T584" s="1"/>
      <c r="Y584" s="1"/>
    </row>
    <row r="585">
      <c r="O585" s="1"/>
      <c r="T585" s="1"/>
      <c r="Y585" s="1"/>
    </row>
    <row r="586">
      <c r="O586" s="1"/>
      <c r="T586" s="1"/>
      <c r="Y586" s="1"/>
    </row>
    <row r="587">
      <c r="O587" s="1"/>
      <c r="T587" s="1"/>
      <c r="Y587" s="1"/>
    </row>
    <row r="588">
      <c r="O588" s="1"/>
      <c r="T588" s="1"/>
      <c r="Y588" s="1"/>
    </row>
    <row r="589">
      <c r="O589" s="1"/>
      <c r="T589" s="1"/>
      <c r="Y589" s="1"/>
    </row>
    <row r="590">
      <c r="O590" s="1"/>
      <c r="T590" s="1"/>
      <c r="Y590" s="1"/>
    </row>
    <row r="591">
      <c r="O591" s="1"/>
      <c r="T591" s="1"/>
      <c r="Y591" s="1"/>
    </row>
    <row r="592">
      <c r="O592" s="1"/>
      <c r="T592" s="1"/>
      <c r="Y592" s="1"/>
    </row>
    <row r="593">
      <c r="O593" s="1"/>
      <c r="T593" s="1"/>
      <c r="Y593" s="1"/>
    </row>
    <row r="594">
      <c r="O594" s="1"/>
      <c r="T594" s="1"/>
      <c r="Y594" s="1"/>
    </row>
    <row r="595">
      <c r="O595" s="1"/>
      <c r="T595" s="1"/>
      <c r="Y595" s="1"/>
    </row>
    <row r="596">
      <c r="O596" s="1"/>
      <c r="T596" s="1"/>
      <c r="Y596" s="1"/>
    </row>
    <row r="597">
      <c r="O597" s="1"/>
      <c r="T597" s="1"/>
      <c r="Y597" s="1"/>
    </row>
    <row r="598">
      <c r="O598" s="1"/>
      <c r="T598" s="1"/>
      <c r="Y598" s="1"/>
    </row>
    <row r="599">
      <c r="O599" s="1"/>
      <c r="T599" s="1"/>
      <c r="Y599" s="1"/>
    </row>
    <row r="600">
      <c r="O600" s="1"/>
      <c r="T600" s="1"/>
      <c r="Y600" s="1"/>
    </row>
    <row r="601">
      <c r="O601" s="1"/>
      <c r="T601" s="1"/>
      <c r="Y601" s="1"/>
    </row>
    <row r="602">
      <c r="O602" s="1"/>
      <c r="T602" s="1"/>
      <c r="Y602" s="1"/>
    </row>
    <row r="603">
      <c r="O603" s="1"/>
      <c r="T603" s="1"/>
      <c r="Y603" s="1"/>
    </row>
    <row r="604">
      <c r="O604" s="1"/>
      <c r="T604" s="1"/>
      <c r="Y604" s="1"/>
    </row>
    <row r="605">
      <c r="O605" s="1"/>
      <c r="T605" s="1"/>
      <c r="Y605" s="1"/>
    </row>
    <row r="606">
      <c r="O606" s="1"/>
      <c r="T606" s="1"/>
      <c r="Y606" s="1"/>
    </row>
    <row r="607">
      <c r="O607" s="1"/>
      <c r="T607" s="1"/>
      <c r="Y607" s="1"/>
    </row>
    <row r="608">
      <c r="O608" s="1"/>
      <c r="T608" s="1"/>
      <c r="Y608" s="1"/>
    </row>
    <row r="609">
      <c r="O609" s="1"/>
      <c r="T609" s="1"/>
      <c r="Y609" s="1"/>
    </row>
    <row r="610">
      <c r="O610" s="1"/>
      <c r="T610" s="1"/>
      <c r="Y610" s="1"/>
    </row>
    <row r="611">
      <c r="O611" s="1"/>
      <c r="T611" s="1"/>
      <c r="Y611" s="1"/>
    </row>
    <row r="612">
      <c r="O612" s="1"/>
      <c r="T612" s="1"/>
      <c r="Y612" s="1"/>
    </row>
    <row r="613">
      <c r="O613" s="1"/>
      <c r="T613" s="1"/>
      <c r="Y613" s="1"/>
    </row>
    <row r="614">
      <c r="O614" s="1"/>
      <c r="T614" s="1"/>
      <c r="Y614" s="1"/>
    </row>
    <row r="615">
      <c r="O615" s="1"/>
      <c r="T615" s="1"/>
      <c r="Y615" s="1"/>
    </row>
    <row r="616">
      <c r="O616" s="1"/>
      <c r="T616" s="1"/>
      <c r="Y616" s="1"/>
    </row>
    <row r="617">
      <c r="O617" s="1"/>
      <c r="T617" s="1"/>
      <c r="Y617" s="1"/>
    </row>
    <row r="618">
      <c r="O618" s="1"/>
      <c r="T618" s="1"/>
      <c r="Y618" s="1"/>
    </row>
    <row r="619">
      <c r="O619" s="1"/>
      <c r="T619" s="1"/>
      <c r="Y619" s="1"/>
    </row>
    <row r="620">
      <c r="O620" s="1"/>
      <c r="T620" s="1"/>
      <c r="Y620" s="1"/>
    </row>
    <row r="621">
      <c r="O621" s="1"/>
      <c r="T621" s="1"/>
      <c r="Y621" s="1"/>
    </row>
    <row r="622">
      <c r="O622" s="1"/>
      <c r="T622" s="1"/>
      <c r="Y622" s="1"/>
    </row>
    <row r="623">
      <c r="O623" s="1"/>
      <c r="T623" s="1"/>
      <c r="Y623" s="1"/>
    </row>
    <row r="624">
      <c r="O624" s="1"/>
      <c r="T624" s="1"/>
      <c r="Y624" s="1"/>
    </row>
    <row r="625">
      <c r="O625" s="1"/>
      <c r="T625" s="1"/>
      <c r="Y625" s="1"/>
    </row>
    <row r="626">
      <c r="O626" s="1"/>
      <c r="T626" s="1"/>
      <c r="Y626" s="1"/>
    </row>
    <row r="627">
      <c r="O627" s="1"/>
      <c r="T627" s="1"/>
      <c r="Y627" s="1"/>
    </row>
    <row r="628">
      <c r="O628" s="1"/>
      <c r="T628" s="1"/>
      <c r="Y628" s="1"/>
    </row>
    <row r="629">
      <c r="O629" s="1"/>
      <c r="T629" s="1"/>
      <c r="Y629" s="1"/>
    </row>
    <row r="630">
      <c r="O630" s="1"/>
      <c r="T630" s="1"/>
      <c r="Y630" s="1"/>
    </row>
    <row r="631">
      <c r="O631" s="1"/>
      <c r="T631" s="1"/>
      <c r="Y631" s="1"/>
    </row>
    <row r="632">
      <c r="O632" s="1"/>
      <c r="T632" s="1"/>
      <c r="Y632" s="1"/>
    </row>
    <row r="633">
      <c r="O633" s="1"/>
      <c r="T633" s="1"/>
      <c r="Y633" s="1"/>
    </row>
    <row r="634">
      <c r="O634" s="1"/>
      <c r="T634" s="1"/>
      <c r="Y634" s="1"/>
    </row>
    <row r="635">
      <c r="O635" s="1"/>
      <c r="T635" s="1"/>
      <c r="Y635" s="1"/>
    </row>
    <row r="636">
      <c r="O636" s="1"/>
      <c r="T636" s="1"/>
      <c r="Y636" s="1"/>
    </row>
    <row r="637">
      <c r="O637" s="1"/>
      <c r="T637" s="1"/>
      <c r="Y637" s="1"/>
    </row>
    <row r="638">
      <c r="O638" s="1"/>
      <c r="T638" s="1"/>
      <c r="Y638" s="1"/>
    </row>
    <row r="639">
      <c r="O639" s="1"/>
      <c r="T639" s="1"/>
      <c r="Y639" s="1"/>
    </row>
    <row r="640">
      <c r="O640" s="1"/>
      <c r="T640" s="1"/>
      <c r="Y640" s="1"/>
    </row>
    <row r="641">
      <c r="O641" s="1"/>
      <c r="T641" s="1"/>
      <c r="Y641" s="1"/>
    </row>
    <row r="642">
      <c r="O642" s="1"/>
      <c r="T642" s="1"/>
      <c r="Y642" s="1"/>
    </row>
    <row r="643">
      <c r="O643" s="1"/>
      <c r="T643" s="1"/>
      <c r="Y643" s="1"/>
    </row>
    <row r="644">
      <c r="O644" s="1"/>
      <c r="T644" s="1"/>
      <c r="Y644" s="1"/>
    </row>
    <row r="645">
      <c r="O645" s="1"/>
      <c r="T645" s="1"/>
      <c r="Y645" s="1"/>
    </row>
    <row r="646">
      <c r="O646" s="1"/>
      <c r="T646" s="1"/>
      <c r="Y646" s="1"/>
    </row>
    <row r="647">
      <c r="O647" s="1"/>
      <c r="T647" s="1"/>
      <c r="Y647" s="1"/>
    </row>
    <row r="648">
      <c r="O648" s="1"/>
      <c r="T648" s="1"/>
      <c r="Y648" s="1"/>
    </row>
    <row r="649">
      <c r="O649" s="1"/>
      <c r="T649" s="1"/>
      <c r="Y649" s="1"/>
    </row>
    <row r="650">
      <c r="O650" s="1"/>
      <c r="T650" s="1"/>
      <c r="Y650" s="1"/>
    </row>
    <row r="651">
      <c r="O651" s="1"/>
      <c r="T651" s="1"/>
      <c r="Y651" s="1"/>
    </row>
    <row r="652">
      <c r="O652" s="1"/>
      <c r="T652" s="1"/>
      <c r="Y652" s="1"/>
    </row>
    <row r="653">
      <c r="O653" s="1"/>
      <c r="T653" s="1"/>
      <c r="Y653" s="1"/>
    </row>
    <row r="654">
      <c r="O654" s="1"/>
      <c r="T654" s="1"/>
      <c r="Y654" s="1"/>
    </row>
    <row r="655">
      <c r="O655" s="1"/>
      <c r="T655" s="1"/>
      <c r="Y655" s="1"/>
    </row>
    <row r="656">
      <c r="O656" s="1"/>
      <c r="T656" s="1"/>
      <c r="Y656" s="1"/>
    </row>
    <row r="657">
      <c r="O657" s="1"/>
      <c r="T657" s="1"/>
      <c r="Y657" s="1"/>
    </row>
    <row r="658">
      <c r="O658" s="1"/>
      <c r="T658" s="1"/>
      <c r="Y658" s="1"/>
    </row>
    <row r="659">
      <c r="O659" s="1"/>
      <c r="T659" s="1"/>
      <c r="Y659" s="1"/>
    </row>
    <row r="660">
      <c r="O660" s="1"/>
      <c r="T660" s="1"/>
      <c r="Y660" s="1"/>
    </row>
    <row r="661">
      <c r="O661" s="1"/>
      <c r="T661" s="1"/>
      <c r="Y661" s="1"/>
    </row>
    <row r="662">
      <c r="O662" s="1"/>
      <c r="T662" s="1"/>
      <c r="Y662" s="1"/>
    </row>
    <row r="663">
      <c r="O663" s="1"/>
      <c r="T663" s="1"/>
      <c r="Y663" s="1"/>
    </row>
    <row r="664">
      <c r="O664" s="1"/>
      <c r="T664" s="1"/>
      <c r="Y664" s="1"/>
    </row>
    <row r="665">
      <c r="O665" s="1"/>
      <c r="T665" s="1"/>
      <c r="Y665" s="1"/>
    </row>
    <row r="666">
      <c r="O666" s="1"/>
      <c r="T666" s="1"/>
      <c r="Y666" s="1"/>
    </row>
    <row r="667">
      <c r="O667" s="1"/>
      <c r="T667" s="1"/>
      <c r="Y667" s="1"/>
    </row>
    <row r="668">
      <c r="O668" s="1"/>
      <c r="T668" s="1"/>
      <c r="Y668" s="1"/>
    </row>
    <row r="669">
      <c r="O669" s="1"/>
      <c r="T669" s="1"/>
      <c r="Y669" s="1"/>
    </row>
    <row r="670">
      <c r="O670" s="1"/>
      <c r="T670" s="1"/>
      <c r="Y670" s="1"/>
    </row>
    <row r="671">
      <c r="O671" s="1"/>
      <c r="T671" s="1"/>
      <c r="Y671" s="1"/>
    </row>
    <row r="672">
      <c r="O672" s="1"/>
      <c r="T672" s="1"/>
      <c r="Y672" s="1"/>
    </row>
    <row r="673">
      <c r="O673" s="1"/>
      <c r="T673" s="1"/>
      <c r="Y673" s="1"/>
    </row>
    <row r="674">
      <c r="O674" s="1"/>
      <c r="T674" s="1"/>
      <c r="Y674" s="1"/>
    </row>
    <row r="675">
      <c r="O675" s="1"/>
      <c r="T675" s="1"/>
      <c r="Y675" s="1"/>
    </row>
    <row r="676">
      <c r="O676" s="1"/>
      <c r="T676" s="1"/>
      <c r="Y676" s="1"/>
    </row>
    <row r="677">
      <c r="O677" s="1"/>
      <c r="T677" s="1"/>
      <c r="Y677" s="1"/>
    </row>
    <row r="678">
      <c r="O678" s="1"/>
      <c r="T678" s="1"/>
      <c r="Y678" s="1"/>
    </row>
    <row r="679">
      <c r="O679" s="1"/>
      <c r="T679" s="1"/>
      <c r="Y679" s="1"/>
    </row>
    <row r="680">
      <c r="O680" s="1"/>
      <c r="T680" s="1"/>
      <c r="Y680" s="1"/>
    </row>
    <row r="681">
      <c r="O681" s="1"/>
      <c r="T681" s="1"/>
      <c r="Y681" s="1"/>
    </row>
    <row r="682">
      <c r="O682" s="1"/>
      <c r="T682" s="1"/>
      <c r="Y682" s="1"/>
    </row>
    <row r="683">
      <c r="O683" s="1"/>
      <c r="T683" s="1"/>
      <c r="Y683" s="1"/>
    </row>
    <row r="684">
      <c r="O684" s="1"/>
      <c r="T684" s="1"/>
      <c r="Y684" s="1"/>
    </row>
    <row r="685">
      <c r="O685" s="1"/>
      <c r="T685" s="1"/>
      <c r="Y685" s="1"/>
    </row>
    <row r="686">
      <c r="O686" s="1"/>
      <c r="T686" s="1"/>
      <c r="Y686" s="1"/>
    </row>
    <row r="687">
      <c r="O687" s="1"/>
      <c r="T687" s="1"/>
      <c r="Y687" s="1"/>
    </row>
    <row r="688">
      <c r="O688" s="1"/>
      <c r="T688" s="1"/>
      <c r="Y688" s="1"/>
    </row>
    <row r="689">
      <c r="O689" s="1"/>
      <c r="T689" s="1"/>
      <c r="Y689" s="1"/>
    </row>
    <row r="690">
      <c r="O690" s="1"/>
      <c r="T690" s="1"/>
      <c r="Y690" s="1"/>
    </row>
    <row r="691">
      <c r="O691" s="1"/>
      <c r="T691" s="1"/>
      <c r="Y691" s="1"/>
    </row>
    <row r="692">
      <c r="O692" s="1"/>
      <c r="T692" s="1"/>
      <c r="Y692" s="1"/>
    </row>
    <row r="693">
      <c r="O693" s="1"/>
      <c r="T693" s="1"/>
      <c r="Y693" s="1"/>
    </row>
    <row r="694">
      <c r="O694" s="1"/>
      <c r="T694" s="1"/>
      <c r="Y694" s="1"/>
    </row>
    <row r="695">
      <c r="O695" s="1"/>
      <c r="T695" s="1"/>
      <c r="Y695" s="1"/>
    </row>
    <row r="696">
      <c r="O696" s="1"/>
      <c r="T696" s="1"/>
      <c r="Y696" s="1"/>
    </row>
    <row r="697">
      <c r="O697" s="1"/>
      <c r="T697" s="1"/>
      <c r="Y697" s="1"/>
    </row>
    <row r="698">
      <c r="O698" s="1"/>
      <c r="T698" s="1"/>
      <c r="Y698" s="1"/>
    </row>
    <row r="699">
      <c r="O699" s="1"/>
      <c r="T699" s="1"/>
      <c r="Y699" s="1"/>
    </row>
    <row r="700">
      <c r="O700" s="1"/>
      <c r="T700" s="1"/>
      <c r="Y700" s="1"/>
    </row>
    <row r="701">
      <c r="O701" s="1"/>
      <c r="T701" s="1"/>
      <c r="Y701" s="1"/>
    </row>
    <row r="702">
      <c r="O702" s="1"/>
      <c r="T702" s="1"/>
      <c r="Y702" s="1"/>
    </row>
    <row r="703">
      <c r="O703" s="1"/>
      <c r="T703" s="1"/>
      <c r="Y703" s="1"/>
    </row>
    <row r="704">
      <c r="O704" s="1"/>
      <c r="T704" s="1"/>
      <c r="Y704" s="1"/>
    </row>
    <row r="705">
      <c r="O705" s="1"/>
      <c r="T705" s="1"/>
      <c r="Y705" s="1"/>
    </row>
    <row r="706">
      <c r="O706" s="1"/>
      <c r="T706" s="1"/>
      <c r="Y706" s="1"/>
    </row>
    <row r="707">
      <c r="O707" s="1"/>
      <c r="T707" s="1"/>
      <c r="Y707" s="1"/>
    </row>
    <row r="708">
      <c r="O708" s="1"/>
      <c r="T708" s="1"/>
      <c r="Y708" s="1"/>
    </row>
    <row r="709">
      <c r="O709" s="1"/>
      <c r="T709" s="1"/>
      <c r="Y709" s="1"/>
    </row>
    <row r="710">
      <c r="O710" s="1"/>
      <c r="T710" s="1"/>
      <c r="Y710" s="1"/>
    </row>
    <row r="711">
      <c r="O711" s="1"/>
      <c r="T711" s="1"/>
      <c r="Y711" s="1"/>
    </row>
    <row r="712">
      <c r="O712" s="1"/>
      <c r="T712" s="1"/>
      <c r="Y712" s="1"/>
    </row>
    <row r="713">
      <c r="O713" s="1"/>
      <c r="T713" s="1"/>
      <c r="Y713" s="1"/>
    </row>
    <row r="714">
      <c r="O714" s="1"/>
      <c r="T714" s="1"/>
      <c r="Y714" s="1"/>
    </row>
    <row r="715">
      <c r="O715" s="1"/>
      <c r="T715" s="1"/>
      <c r="Y715" s="1"/>
    </row>
    <row r="716">
      <c r="O716" s="1"/>
      <c r="T716" s="1"/>
      <c r="Y716" s="1"/>
    </row>
    <row r="717">
      <c r="O717" s="1"/>
      <c r="T717" s="1"/>
      <c r="Y717" s="1"/>
    </row>
    <row r="718">
      <c r="O718" s="1"/>
      <c r="T718" s="1"/>
      <c r="Y718" s="1"/>
    </row>
    <row r="719">
      <c r="O719" s="1"/>
      <c r="T719" s="1"/>
      <c r="Y719" s="1"/>
    </row>
    <row r="720">
      <c r="O720" s="1"/>
      <c r="T720" s="1"/>
      <c r="Y720" s="1"/>
    </row>
    <row r="721">
      <c r="O721" s="1"/>
      <c r="T721" s="1"/>
      <c r="Y721" s="1"/>
    </row>
    <row r="722">
      <c r="O722" s="1"/>
      <c r="T722" s="1"/>
      <c r="Y722" s="1"/>
    </row>
    <row r="723">
      <c r="O723" s="1"/>
      <c r="T723" s="1"/>
      <c r="Y723" s="1"/>
    </row>
    <row r="724">
      <c r="O724" s="1"/>
      <c r="T724" s="1"/>
      <c r="Y724" s="1"/>
    </row>
    <row r="725">
      <c r="O725" s="1"/>
      <c r="T725" s="1"/>
      <c r="Y725" s="1"/>
    </row>
    <row r="726">
      <c r="O726" s="1"/>
      <c r="T726" s="1"/>
      <c r="Y726" s="1"/>
    </row>
    <row r="727">
      <c r="O727" s="1"/>
      <c r="T727" s="1"/>
      <c r="Y727" s="1"/>
    </row>
    <row r="728">
      <c r="O728" s="1"/>
      <c r="T728" s="1"/>
      <c r="Y728" s="1"/>
    </row>
    <row r="729">
      <c r="O729" s="1"/>
      <c r="T729" s="1"/>
      <c r="Y729" s="1"/>
    </row>
    <row r="730">
      <c r="O730" s="1"/>
      <c r="T730" s="1"/>
      <c r="Y730" s="1"/>
    </row>
    <row r="731">
      <c r="O731" s="1"/>
      <c r="T731" s="1"/>
      <c r="Y731" s="1"/>
    </row>
    <row r="732">
      <c r="O732" s="1"/>
      <c r="T732" s="1"/>
      <c r="Y732" s="1"/>
    </row>
    <row r="733">
      <c r="O733" s="1"/>
      <c r="T733" s="1"/>
      <c r="Y733" s="1"/>
    </row>
    <row r="734">
      <c r="O734" s="1"/>
      <c r="T734" s="1"/>
      <c r="Y734" s="1"/>
    </row>
    <row r="735">
      <c r="O735" s="1"/>
      <c r="T735" s="1"/>
      <c r="Y735" s="1"/>
    </row>
    <row r="736">
      <c r="O736" s="1"/>
      <c r="T736" s="1"/>
      <c r="Y736" s="1"/>
    </row>
    <row r="737">
      <c r="O737" s="1"/>
      <c r="T737" s="1"/>
      <c r="Y737" s="1"/>
    </row>
    <row r="738">
      <c r="O738" s="1"/>
      <c r="T738" s="1"/>
      <c r="Y738" s="1"/>
    </row>
    <row r="739">
      <c r="O739" s="1"/>
      <c r="T739" s="1"/>
      <c r="Y739" s="1"/>
    </row>
    <row r="740">
      <c r="O740" s="1"/>
      <c r="T740" s="1"/>
      <c r="Y740" s="1"/>
    </row>
    <row r="741">
      <c r="O741" s="1"/>
      <c r="T741" s="1"/>
      <c r="Y741" s="1"/>
    </row>
    <row r="742">
      <c r="O742" s="1"/>
      <c r="T742" s="1"/>
      <c r="Y742" s="1"/>
    </row>
    <row r="743">
      <c r="O743" s="1"/>
      <c r="T743" s="1"/>
      <c r="Y743" s="1"/>
    </row>
    <row r="744">
      <c r="O744" s="1"/>
      <c r="T744" s="1"/>
      <c r="Y744" s="1"/>
    </row>
    <row r="745">
      <c r="O745" s="1"/>
      <c r="T745" s="1"/>
      <c r="Y745" s="1"/>
    </row>
    <row r="746">
      <c r="O746" s="1"/>
      <c r="T746" s="1"/>
      <c r="Y746" s="1"/>
    </row>
    <row r="747">
      <c r="O747" s="1"/>
      <c r="T747" s="1"/>
      <c r="Y747" s="1"/>
    </row>
    <row r="748">
      <c r="O748" s="1"/>
      <c r="T748" s="1"/>
      <c r="Y748" s="1"/>
    </row>
    <row r="749">
      <c r="O749" s="1"/>
      <c r="T749" s="1"/>
      <c r="Y749" s="1"/>
    </row>
    <row r="750">
      <c r="O750" s="1"/>
      <c r="T750" s="1"/>
      <c r="Y750" s="1"/>
    </row>
    <row r="751">
      <c r="O751" s="1"/>
      <c r="T751" s="1"/>
      <c r="Y751" s="1"/>
    </row>
    <row r="752">
      <c r="O752" s="1"/>
      <c r="T752" s="1"/>
      <c r="Y752" s="1"/>
    </row>
    <row r="753">
      <c r="O753" s="1"/>
      <c r="T753" s="1"/>
      <c r="Y753" s="1"/>
    </row>
    <row r="754">
      <c r="O754" s="1"/>
      <c r="T754" s="1"/>
      <c r="Y754" s="1"/>
    </row>
    <row r="755">
      <c r="O755" s="1"/>
      <c r="T755" s="1"/>
      <c r="Y755" s="1"/>
    </row>
    <row r="756">
      <c r="O756" s="1"/>
      <c r="T756" s="1"/>
      <c r="Y756" s="1"/>
    </row>
    <row r="757">
      <c r="O757" s="1"/>
      <c r="T757" s="1"/>
      <c r="Y757" s="1"/>
    </row>
    <row r="758">
      <c r="O758" s="1"/>
      <c r="T758" s="1"/>
      <c r="Y758" s="1"/>
    </row>
    <row r="759">
      <c r="O759" s="1"/>
      <c r="T759" s="1"/>
      <c r="Y759" s="1"/>
    </row>
    <row r="760">
      <c r="O760" s="1"/>
      <c r="T760" s="1"/>
      <c r="Y760" s="1"/>
    </row>
    <row r="761">
      <c r="O761" s="1"/>
      <c r="T761" s="1"/>
      <c r="Y761" s="1"/>
    </row>
    <row r="762">
      <c r="O762" s="1"/>
      <c r="T762" s="1"/>
      <c r="Y762" s="1"/>
    </row>
    <row r="763">
      <c r="O763" s="1"/>
      <c r="T763" s="1"/>
      <c r="Y763" s="1"/>
    </row>
    <row r="764">
      <c r="O764" s="1"/>
      <c r="T764" s="1"/>
      <c r="Y764" s="1"/>
    </row>
    <row r="765">
      <c r="O765" s="1"/>
      <c r="T765" s="1"/>
      <c r="Y765" s="1"/>
    </row>
    <row r="766">
      <c r="O766" s="1"/>
      <c r="T766" s="1"/>
      <c r="Y766" s="1"/>
    </row>
    <row r="767">
      <c r="O767" s="1"/>
      <c r="T767" s="1"/>
      <c r="Y767" s="1"/>
    </row>
    <row r="768">
      <c r="O768" s="1"/>
      <c r="T768" s="1"/>
      <c r="Y768" s="1"/>
    </row>
    <row r="769">
      <c r="O769" s="1"/>
      <c r="T769" s="1"/>
      <c r="Y769" s="1"/>
    </row>
    <row r="770">
      <c r="O770" s="1"/>
      <c r="T770" s="1"/>
      <c r="Y770" s="1"/>
    </row>
    <row r="771">
      <c r="O771" s="1"/>
      <c r="T771" s="1"/>
      <c r="Y771" s="1"/>
    </row>
    <row r="772">
      <c r="O772" s="1"/>
      <c r="T772" s="1"/>
      <c r="Y772" s="1"/>
    </row>
    <row r="773">
      <c r="O773" s="1"/>
      <c r="T773" s="1"/>
      <c r="Y773" s="1"/>
    </row>
    <row r="774">
      <c r="O774" s="1"/>
      <c r="T774" s="1"/>
      <c r="Y774" s="1"/>
    </row>
    <row r="775">
      <c r="O775" s="1"/>
      <c r="T775" s="1"/>
      <c r="Y775" s="1"/>
    </row>
    <row r="776">
      <c r="O776" s="1"/>
      <c r="T776" s="1"/>
      <c r="Y776" s="1"/>
    </row>
    <row r="777">
      <c r="O777" s="1"/>
      <c r="T777" s="1"/>
      <c r="Y777" s="1"/>
    </row>
    <row r="778">
      <c r="O778" s="1"/>
      <c r="T778" s="1"/>
      <c r="Y778" s="1"/>
    </row>
    <row r="779">
      <c r="O779" s="1"/>
      <c r="T779" s="1"/>
      <c r="Y779" s="1"/>
    </row>
    <row r="780">
      <c r="O780" s="1"/>
      <c r="T780" s="1"/>
      <c r="Y780" s="1"/>
    </row>
    <row r="781">
      <c r="O781" s="1"/>
      <c r="T781" s="1"/>
      <c r="Y781" s="1"/>
    </row>
    <row r="782">
      <c r="O782" s="1"/>
      <c r="T782" s="1"/>
      <c r="Y782" s="1"/>
    </row>
    <row r="783">
      <c r="O783" s="1"/>
      <c r="T783" s="1"/>
      <c r="Y783" s="1"/>
    </row>
    <row r="784">
      <c r="O784" s="1"/>
      <c r="T784" s="1"/>
      <c r="Y784" s="1"/>
    </row>
    <row r="785">
      <c r="O785" s="1"/>
      <c r="T785" s="1"/>
      <c r="Y785" s="1"/>
    </row>
    <row r="786">
      <c r="O786" s="1"/>
      <c r="T786" s="1"/>
      <c r="Y786" s="1"/>
    </row>
    <row r="787">
      <c r="O787" s="1"/>
      <c r="T787" s="1"/>
      <c r="Y787" s="1"/>
    </row>
    <row r="788">
      <c r="O788" s="1"/>
      <c r="T788" s="1"/>
      <c r="Y788" s="1"/>
    </row>
    <row r="789">
      <c r="O789" s="1"/>
      <c r="T789" s="1"/>
      <c r="Y789" s="1"/>
    </row>
    <row r="790">
      <c r="O790" s="1"/>
      <c r="T790" s="1"/>
      <c r="Y790" s="1"/>
    </row>
    <row r="791">
      <c r="O791" s="1"/>
      <c r="T791" s="1"/>
      <c r="Y791" s="1"/>
    </row>
    <row r="792">
      <c r="O792" s="1"/>
      <c r="T792" s="1"/>
      <c r="Y792" s="1"/>
    </row>
    <row r="793">
      <c r="O793" s="1"/>
      <c r="T793" s="1"/>
      <c r="Y793" s="1"/>
    </row>
    <row r="794">
      <c r="O794" s="1"/>
      <c r="T794" s="1"/>
      <c r="Y794" s="1"/>
    </row>
    <row r="795">
      <c r="O795" s="1"/>
      <c r="T795" s="1"/>
      <c r="Y795" s="1"/>
    </row>
    <row r="796">
      <c r="O796" s="1"/>
      <c r="T796" s="1"/>
      <c r="Y796" s="1"/>
    </row>
    <row r="797">
      <c r="O797" s="1"/>
      <c r="T797" s="1"/>
      <c r="Y797" s="1"/>
    </row>
    <row r="798">
      <c r="O798" s="1"/>
      <c r="T798" s="1"/>
      <c r="Y798" s="1"/>
    </row>
    <row r="799">
      <c r="O799" s="1"/>
      <c r="T799" s="1"/>
      <c r="Y799" s="1"/>
    </row>
    <row r="800">
      <c r="O800" s="1"/>
      <c r="T800" s="1"/>
      <c r="Y800" s="1"/>
    </row>
    <row r="801">
      <c r="O801" s="1"/>
      <c r="T801" s="1"/>
      <c r="Y801" s="1"/>
    </row>
    <row r="802">
      <c r="O802" s="1"/>
      <c r="T802" s="1"/>
      <c r="Y802" s="1"/>
    </row>
    <row r="803">
      <c r="O803" s="1"/>
      <c r="T803" s="1"/>
      <c r="Y803" s="1"/>
    </row>
    <row r="804">
      <c r="O804" s="1"/>
      <c r="T804" s="1"/>
      <c r="Y804" s="1"/>
    </row>
    <row r="805">
      <c r="O805" s="1"/>
      <c r="T805" s="1"/>
      <c r="Y805" s="1"/>
    </row>
    <row r="806">
      <c r="O806" s="1"/>
      <c r="T806" s="1"/>
      <c r="Y806" s="1"/>
    </row>
    <row r="807">
      <c r="O807" s="1"/>
      <c r="T807" s="1"/>
      <c r="Y807" s="1"/>
    </row>
    <row r="808">
      <c r="O808" s="1"/>
      <c r="T808" s="1"/>
      <c r="Y808" s="1"/>
    </row>
    <row r="809">
      <c r="O809" s="1"/>
      <c r="T809" s="1"/>
      <c r="Y809" s="1"/>
    </row>
    <row r="810">
      <c r="O810" s="1"/>
      <c r="T810" s="1"/>
      <c r="Y810" s="1"/>
    </row>
    <row r="811">
      <c r="O811" s="1"/>
      <c r="T811" s="1"/>
      <c r="Y811" s="1"/>
    </row>
    <row r="812">
      <c r="O812" s="1"/>
      <c r="T812" s="1"/>
      <c r="Y812" s="1"/>
    </row>
    <row r="813">
      <c r="O813" s="1"/>
      <c r="T813" s="1"/>
      <c r="Y813" s="1"/>
    </row>
    <row r="814">
      <c r="O814" s="1"/>
      <c r="T814" s="1"/>
      <c r="Y814" s="1"/>
    </row>
    <row r="815">
      <c r="O815" s="1"/>
      <c r="T815" s="1"/>
      <c r="Y815" s="1"/>
    </row>
    <row r="816">
      <c r="O816" s="1"/>
      <c r="T816" s="1"/>
      <c r="Y816" s="1"/>
    </row>
    <row r="817">
      <c r="O817" s="1"/>
      <c r="T817" s="1"/>
      <c r="Y817" s="1"/>
    </row>
    <row r="818">
      <c r="O818" s="1"/>
      <c r="T818" s="1"/>
      <c r="Y818" s="1"/>
    </row>
    <row r="819">
      <c r="O819" s="1"/>
      <c r="T819" s="1"/>
      <c r="Y819" s="1"/>
    </row>
    <row r="820">
      <c r="O820" s="1"/>
      <c r="T820" s="1"/>
      <c r="Y820" s="1"/>
    </row>
    <row r="821">
      <c r="O821" s="1"/>
      <c r="T821" s="1"/>
      <c r="Y821" s="1"/>
    </row>
    <row r="822">
      <c r="O822" s="1"/>
      <c r="T822" s="1"/>
      <c r="Y822" s="1"/>
    </row>
    <row r="823">
      <c r="O823" s="1"/>
      <c r="T823" s="1"/>
      <c r="Y823" s="1"/>
    </row>
    <row r="824">
      <c r="O824" s="1"/>
      <c r="T824" s="1"/>
      <c r="Y824" s="1"/>
    </row>
    <row r="825">
      <c r="O825" s="1"/>
      <c r="T825" s="1"/>
      <c r="Y825" s="1"/>
    </row>
    <row r="826">
      <c r="O826" s="1"/>
      <c r="T826" s="1"/>
      <c r="Y826" s="1"/>
    </row>
    <row r="827">
      <c r="O827" s="1"/>
      <c r="T827" s="1"/>
      <c r="Y827" s="1"/>
    </row>
    <row r="828">
      <c r="O828" s="1"/>
      <c r="T828" s="1"/>
      <c r="Y828" s="1"/>
    </row>
    <row r="829">
      <c r="O829" s="1"/>
      <c r="T829" s="1"/>
      <c r="Y829" s="1"/>
    </row>
    <row r="830">
      <c r="O830" s="1"/>
      <c r="T830" s="1"/>
      <c r="Y830" s="1"/>
    </row>
    <row r="831">
      <c r="O831" s="1"/>
      <c r="T831" s="1"/>
      <c r="Y831" s="1"/>
    </row>
    <row r="832">
      <c r="O832" s="1"/>
      <c r="T832" s="1"/>
      <c r="Y832" s="1"/>
    </row>
    <row r="833">
      <c r="O833" s="1"/>
      <c r="T833" s="1"/>
      <c r="Y833" s="1"/>
    </row>
    <row r="834">
      <c r="O834" s="1"/>
      <c r="T834" s="1"/>
      <c r="Y834" s="1"/>
    </row>
    <row r="835">
      <c r="O835" s="1"/>
      <c r="T835" s="1"/>
      <c r="Y835" s="1"/>
    </row>
    <row r="836">
      <c r="O836" s="1"/>
      <c r="T836" s="1"/>
      <c r="Y836" s="1"/>
    </row>
    <row r="837">
      <c r="O837" s="1"/>
      <c r="T837" s="1"/>
      <c r="Y837" s="1"/>
    </row>
    <row r="838">
      <c r="O838" s="1"/>
      <c r="T838" s="1"/>
      <c r="Y838" s="1"/>
    </row>
    <row r="839">
      <c r="O839" s="1"/>
      <c r="T839" s="1"/>
      <c r="Y839" s="1"/>
    </row>
    <row r="840">
      <c r="O840" s="1"/>
      <c r="T840" s="1"/>
      <c r="Y840" s="1"/>
    </row>
    <row r="841">
      <c r="O841" s="1"/>
      <c r="T841" s="1"/>
      <c r="Y841" s="1"/>
    </row>
    <row r="842">
      <c r="O842" s="1"/>
      <c r="T842" s="1"/>
      <c r="Y842" s="1"/>
    </row>
    <row r="843">
      <c r="O843" s="1"/>
      <c r="T843" s="1"/>
      <c r="Y843" s="1"/>
    </row>
    <row r="844">
      <c r="O844" s="1"/>
      <c r="T844" s="1"/>
      <c r="Y844" s="1"/>
    </row>
    <row r="845">
      <c r="O845" s="1"/>
      <c r="T845" s="1"/>
      <c r="Y845" s="1"/>
    </row>
    <row r="846">
      <c r="O846" s="1"/>
      <c r="T846" s="1"/>
      <c r="Y846" s="1"/>
    </row>
    <row r="847">
      <c r="O847" s="1"/>
      <c r="T847" s="1"/>
      <c r="Y847" s="1"/>
    </row>
    <row r="848">
      <c r="O848" s="1"/>
      <c r="T848" s="1"/>
      <c r="Y848" s="1"/>
    </row>
    <row r="849">
      <c r="O849" s="1"/>
      <c r="T849" s="1"/>
      <c r="Y849" s="1"/>
    </row>
    <row r="850">
      <c r="O850" s="1"/>
      <c r="T850" s="1"/>
      <c r="Y850" s="1"/>
    </row>
    <row r="851">
      <c r="O851" s="1"/>
      <c r="T851" s="1"/>
      <c r="Y851" s="1"/>
    </row>
    <row r="852">
      <c r="O852" s="1"/>
      <c r="T852" s="1"/>
      <c r="Y852" s="1"/>
    </row>
    <row r="853">
      <c r="O853" s="1"/>
      <c r="T853" s="1"/>
      <c r="Y853" s="1"/>
    </row>
    <row r="854">
      <c r="O854" s="1"/>
      <c r="T854" s="1"/>
      <c r="Y854" s="1"/>
    </row>
    <row r="855">
      <c r="O855" s="1"/>
      <c r="T855" s="1"/>
      <c r="Y855" s="1"/>
    </row>
    <row r="856">
      <c r="O856" s="1"/>
      <c r="T856" s="1"/>
      <c r="Y856" s="1"/>
    </row>
    <row r="857">
      <c r="O857" s="1"/>
      <c r="T857" s="1"/>
      <c r="Y857" s="1"/>
    </row>
    <row r="858">
      <c r="O858" s="1"/>
      <c r="T858" s="1"/>
      <c r="Y858" s="1"/>
    </row>
    <row r="859">
      <c r="O859" s="1"/>
      <c r="T859" s="1"/>
      <c r="Y859" s="1"/>
    </row>
    <row r="860">
      <c r="O860" s="1"/>
      <c r="T860" s="1"/>
      <c r="Y860" s="1"/>
    </row>
    <row r="861">
      <c r="O861" s="1"/>
      <c r="T861" s="1"/>
      <c r="Y861" s="1"/>
    </row>
    <row r="862">
      <c r="O862" s="1"/>
      <c r="T862" s="1"/>
      <c r="Y862" s="1"/>
    </row>
    <row r="863">
      <c r="O863" s="1"/>
      <c r="T863" s="1"/>
      <c r="Y863" s="1"/>
    </row>
    <row r="864">
      <c r="O864" s="1"/>
      <c r="T864" s="1"/>
      <c r="Y864" s="1"/>
    </row>
    <row r="865">
      <c r="O865" s="1"/>
      <c r="T865" s="1"/>
      <c r="Y865" s="1"/>
    </row>
    <row r="866">
      <c r="O866" s="1"/>
      <c r="T866" s="1"/>
      <c r="Y866" s="1"/>
    </row>
    <row r="867">
      <c r="O867" s="1"/>
      <c r="T867" s="1"/>
      <c r="Y867" s="1"/>
    </row>
    <row r="868">
      <c r="O868" s="1"/>
      <c r="T868" s="1"/>
      <c r="Y868" s="1"/>
    </row>
    <row r="869">
      <c r="O869" s="1"/>
      <c r="T869" s="1"/>
      <c r="Y869" s="1"/>
    </row>
    <row r="870">
      <c r="O870" s="1"/>
      <c r="T870" s="1"/>
      <c r="Y870" s="1"/>
    </row>
    <row r="871">
      <c r="O871" s="1"/>
      <c r="T871" s="1"/>
      <c r="Y871" s="1"/>
    </row>
    <row r="872">
      <c r="O872" s="1"/>
      <c r="T872" s="1"/>
      <c r="Y872" s="1"/>
    </row>
    <row r="873">
      <c r="O873" s="1"/>
      <c r="T873" s="1"/>
      <c r="Y873" s="1"/>
    </row>
    <row r="874">
      <c r="O874" s="1"/>
      <c r="T874" s="1"/>
      <c r="Y874" s="1"/>
    </row>
    <row r="875">
      <c r="O875" s="1"/>
      <c r="T875" s="1"/>
      <c r="Y875" s="1"/>
    </row>
    <row r="876">
      <c r="O876" s="1"/>
      <c r="T876" s="1"/>
      <c r="Y876" s="1"/>
    </row>
    <row r="877">
      <c r="O877" s="1"/>
      <c r="T877" s="1"/>
      <c r="Y877" s="1"/>
    </row>
    <row r="878">
      <c r="O878" s="1"/>
      <c r="T878" s="1"/>
      <c r="Y878" s="1"/>
    </row>
    <row r="879">
      <c r="O879" s="1"/>
      <c r="T879" s="1"/>
      <c r="Y879" s="1"/>
    </row>
    <row r="880">
      <c r="O880" s="1"/>
      <c r="T880" s="1"/>
      <c r="Y880" s="1"/>
    </row>
    <row r="881">
      <c r="O881" s="1"/>
      <c r="T881" s="1"/>
      <c r="Y881" s="1"/>
    </row>
    <row r="882">
      <c r="O882" s="1"/>
      <c r="T882" s="1"/>
      <c r="Y882" s="1"/>
    </row>
    <row r="883">
      <c r="O883" s="1"/>
      <c r="T883" s="1"/>
      <c r="Y883" s="1"/>
    </row>
    <row r="884">
      <c r="O884" s="1"/>
      <c r="T884" s="1"/>
      <c r="Y884" s="1"/>
    </row>
    <row r="885">
      <c r="O885" s="1"/>
      <c r="T885" s="1"/>
      <c r="Y885" s="1"/>
    </row>
    <row r="886">
      <c r="O886" s="1"/>
      <c r="T886" s="1"/>
      <c r="Y886" s="1"/>
    </row>
    <row r="887">
      <c r="O887" s="1"/>
      <c r="T887" s="1"/>
      <c r="Y887" s="1"/>
    </row>
    <row r="888">
      <c r="O888" s="1"/>
      <c r="T888" s="1"/>
      <c r="Y888" s="1"/>
    </row>
    <row r="889">
      <c r="O889" s="1"/>
      <c r="T889" s="1"/>
      <c r="Y889" s="1"/>
    </row>
    <row r="890">
      <c r="O890" s="1"/>
      <c r="T890" s="1"/>
      <c r="Y890" s="1"/>
    </row>
    <row r="891">
      <c r="O891" s="1"/>
      <c r="T891" s="1"/>
      <c r="Y891" s="1"/>
    </row>
    <row r="892">
      <c r="O892" s="1"/>
      <c r="T892" s="1"/>
      <c r="Y892" s="1"/>
    </row>
    <row r="893">
      <c r="O893" s="1"/>
      <c r="T893" s="1"/>
      <c r="Y893" s="1"/>
    </row>
    <row r="894">
      <c r="O894" s="1"/>
      <c r="T894" s="1"/>
      <c r="Y894" s="1"/>
    </row>
    <row r="895">
      <c r="O895" s="1"/>
      <c r="T895" s="1"/>
      <c r="Y895" s="1"/>
    </row>
    <row r="896">
      <c r="O896" s="1"/>
      <c r="T896" s="1"/>
      <c r="Y896" s="1"/>
    </row>
    <row r="897">
      <c r="O897" s="1"/>
      <c r="T897" s="1"/>
      <c r="Y897" s="1"/>
    </row>
    <row r="898">
      <c r="O898" s="1"/>
      <c r="T898" s="1"/>
      <c r="Y898" s="1"/>
    </row>
    <row r="899">
      <c r="O899" s="1"/>
      <c r="T899" s="1"/>
      <c r="Y899" s="1"/>
    </row>
    <row r="900">
      <c r="O900" s="1"/>
      <c r="T900" s="1"/>
      <c r="Y900" s="1"/>
    </row>
    <row r="901">
      <c r="O901" s="1"/>
      <c r="T901" s="1"/>
      <c r="Y901" s="1"/>
    </row>
    <row r="902">
      <c r="O902" s="1"/>
      <c r="T902" s="1"/>
      <c r="Y902" s="1"/>
    </row>
    <row r="903">
      <c r="O903" s="1"/>
      <c r="T903" s="1"/>
      <c r="Y903" s="1"/>
    </row>
    <row r="904">
      <c r="O904" s="1"/>
      <c r="T904" s="1"/>
      <c r="Y904" s="1"/>
    </row>
    <row r="905">
      <c r="O905" s="1"/>
      <c r="T905" s="1"/>
      <c r="Y905" s="1"/>
    </row>
    <row r="906">
      <c r="O906" s="1"/>
      <c r="T906" s="1"/>
      <c r="Y906" s="1"/>
    </row>
    <row r="907">
      <c r="O907" s="1"/>
      <c r="T907" s="1"/>
      <c r="Y907" s="1"/>
    </row>
    <row r="908">
      <c r="O908" s="1"/>
      <c r="T908" s="1"/>
      <c r="Y908" s="1"/>
    </row>
    <row r="909">
      <c r="O909" s="1"/>
      <c r="T909" s="1"/>
      <c r="Y909" s="1"/>
    </row>
    <row r="910">
      <c r="O910" s="1"/>
      <c r="T910" s="1"/>
      <c r="Y910" s="1"/>
    </row>
    <row r="911">
      <c r="O911" s="1"/>
      <c r="T911" s="1"/>
      <c r="Y911" s="1"/>
    </row>
    <row r="912">
      <c r="O912" s="1"/>
      <c r="T912" s="1"/>
      <c r="Y912" s="1"/>
    </row>
    <row r="913">
      <c r="O913" s="1"/>
      <c r="T913" s="1"/>
      <c r="Y913" s="1"/>
    </row>
    <row r="914">
      <c r="O914" s="1"/>
      <c r="T914" s="1"/>
      <c r="Y914" s="1"/>
    </row>
    <row r="915">
      <c r="O915" s="1"/>
      <c r="T915" s="1"/>
      <c r="Y915" s="1"/>
    </row>
    <row r="916">
      <c r="O916" s="1"/>
      <c r="T916" s="1"/>
      <c r="Y916" s="1"/>
    </row>
    <row r="917">
      <c r="O917" s="1"/>
      <c r="T917" s="1"/>
      <c r="Y917" s="1"/>
    </row>
    <row r="918">
      <c r="O918" s="1"/>
      <c r="T918" s="1"/>
      <c r="Y918" s="1"/>
    </row>
    <row r="919">
      <c r="O919" s="1"/>
      <c r="T919" s="1"/>
      <c r="Y919" s="1"/>
    </row>
    <row r="920">
      <c r="O920" s="1"/>
      <c r="T920" s="1"/>
      <c r="Y920" s="1"/>
    </row>
    <row r="921">
      <c r="O921" s="1"/>
      <c r="T921" s="1"/>
      <c r="Y921" s="1"/>
    </row>
    <row r="922">
      <c r="O922" s="1"/>
      <c r="T922" s="1"/>
      <c r="Y922" s="1"/>
    </row>
    <row r="923">
      <c r="O923" s="1"/>
      <c r="T923" s="1"/>
      <c r="Y923" s="1"/>
    </row>
    <row r="924">
      <c r="O924" s="1"/>
      <c r="T924" s="1"/>
      <c r="Y924" s="1"/>
    </row>
    <row r="925">
      <c r="O925" s="1"/>
      <c r="T925" s="1"/>
      <c r="Y925" s="1"/>
    </row>
    <row r="926">
      <c r="O926" s="1"/>
      <c r="T926" s="1"/>
      <c r="Y926" s="1"/>
    </row>
    <row r="927">
      <c r="O927" s="1"/>
      <c r="T927" s="1"/>
      <c r="Y927" s="1"/>
    </row>
    <row r="928">
      <c r="O928" s="1"/>
      <c r="T928" s="1"/>
      <c r="Y928" s="1"/>
    </row>
    <row r="929">
      <c r="O929" s="1"/>
      <c r="T929" s="1"/>
      <c r="Y929" s="1"/>
    </row>
    <row r="930">
      <c r="O930" s="1"/>
      <c r="T930" s="1"/>
      <c r="Y930" s="1"/>
    </row>
    <row r="931">
      <c r="O931" s="1"/>
      <c r="T931" s="1"/>
      <c r="Y931" s="1"/>
    </row>
    <row r="932">
      <c r="O932" s="1"/>
      <c r="T932" s="1"/>
      <c r="Y932" s="1"/>
    </row>
    <row r="933">
      <c r="O933" s="1"/>
      <c r="T933" s="1"/>
      <c r="Y933" s="1"/>
    </row>
    <row r="934">
      <c r="O934" s="1"/>
      <c r="T934" s="1"/>
      <c r="Y934" s="1"/>
    </row>
    <row r="935">
      <c r="O935" s="1"/>
      <c r="T935" s="1"/>
      <c r="Y935" s="1"/>
    </row>
    <row r="936">
      <c r="O936" s="1"/>
      <c r="T936" s="1"/>
      <c r="Y936" s="1"/>
    </row>
    <row r="937">
      <c r="O937" s="1"/>
      <c r="T937" s="1"/>
      <c r="Y937" s="1"/>
    </row>
    <row r="938">
      <c r="O938" s="1"/>
      <c r="T938" s="1"/>
      <c r="Y938" s="1"/>
    </row>
    <row r="939">
      <c r="O939" s="1"/>
      <c r="T939" s="1"/>
      <c r="Y939" s="1"/>
    </row>
    <row r="940">
      <c r="O940" s="1"/>
      <c r="T940" s="1"/>
      <c r="Y940" s="1"/>
    </row>
    <row r="941">
      <c r="O941" s="1"/>
      <c r="T941" s="1"/>
      <c r="Y941" s="1"/>
    </row>
    <row r="942">
      <c r="O942" s="1"/>
      <c r="T942" s="1"/>
      <c r="Y942" s="1"/>
    </row>
    <row r="943">
      <c r="O943" s="1"/>
      <c r="T943" s="1"/>
      <c r="Y943" s="1"/>
    </row>
    <row r="944">
      <c r="O944" s="1"/>
      <c r="T944" s="1"/>
      <c r="Y944" s="1"/>
    </row>
    <row r="945">
      <c r="O945" s="1"/>
      <c r="T945" s="1"/>
      <c r="Y945" s="1"/>
    </row>
    <row r="946">
      <c r="O946" s="1"/>
      <c r="T946" s="1"/>
      <c r="Y946" s="1"/>
    </row>
    <row r="947">
      <c r="O947" s="1"/>
      <c r="T947" s="1"/>
      <c r="Y947" s="1"/>
    </row>
    <row r="948">
      <c r="O948" s="1"/>
      <c r="T948" s="1"/>
      <c r="Y948" s="1"/>
    </row>
    <row r="949">
      <c r="O949" s="1"/>
      <c r="T949" s="1"/>
      <c r="Y949" s="1"/>
    </row>
    <row r="950">
      <c r="O950" s="1"/>
      <c r="T950" s="1"/>
      <c r="Y950" s="1"/>
    </row>
    <row r="951">
      <c r="O951" s="1"/>
      <c r="T951" s="1"/>
      <c r="Y951" s="1"/>
    </row>
    <row r="952">
      <c r="O952" s="1"/>
      <c r="T952" s="1"/>
      <c r="Y952" s="1"/>
    </row>
    <row r="953">
      <c r="O953" s="1"/>
      <c r="T953" s="1"/>
      <c r="Y953" s="1"/>
    </row>
    <row r="954">
      <c r="O954" s="1"/>
      <c r="T954" s="1"/>
      <c r="Y954" s="1"/>
    </row>
    <row r="955">
      <c r="O955" s="1"/>
      <c r="T955" s="1"/>
      <c r="Y955" s="1"/>
    </row>
    <row r="956">
      <c r="O956" s="1"/>
      <c r="T956" s="1"/>
      <c r="Y956" s="1"/>
    </row>
    <row r="957">
      <c r="O957" s="1"/>
      <c r="T957" s="1"/>
      <c r="Y957" s="1"/>
    </row>
    <row r="958">
      <c r="O958" s="1"/>
      <c r="T958" s="1"/>
      <c r="Y958" s="1"/>
    </row>
    <row r="959">
      <c r="O959" s="1"/>
      <c r="T959" s="1"/>
      <c r="Y959" s="1"/>
    </row>
    <row r="960">
      <c r="O960" s="1"/>
      <c r="T960" s="1"/>
      <c r="Y960" s="1"/>
    </row>
    <row r="961">
      <c r="O961" s="1"/>
      <c r="T961" s="1"/>
      <c r="Y961" s="1"/>
    </row>
    <row r="962">
      <c r="O962" s="1"/>
      <c r="T962" s="1"/>
      <c r="Y962" s="1"/>
    </row>
    <row r="963">
      <c r="O963" s="1"/>
      <c r="T963" s="1"/>
      <c r="Y963" s="1"/>
    </row>
    <row r="964">
      <c r="O964" s="1"/>
      <c r="T964" s="1"/>
      <c r="Y964" s="1"/>
    </row>
    <row r="965">
      <c r="O965" s="1"/>
      <c r="T965" s="1"/>
      <c r="Y965" s="1"/>
    </row>
    <row r="966">
      <c r="O966" s="1"/>
      <c r="T966" s="1"/>
      <c r="Y966" s="1"/>
    </row>
    <row r="967">
      <c r="O967" s="1"/>
      <c r="T967" s="1"/>
      <c r="Y967" s="1"/>
    </row>
    <row r="968">
      <c r="O968" s="1"/>
      <c r="T968" s="1"/>
      <c r="Y968" s="1"/>
    </row>
    <row r="969">
      <c r="O969" s="1"/>
      <c r="T969" s="1"/>
      <c r="Y969" s="1"/>
    </row>
    <row r="970">
      <c r="O970" s="1"/>
      <c r="T970" s="1"/>
      <c r="Y970" s="1"/>
    </row>
    <row r="971">
      <c r="O971" s="1"/>
      <c r="T971" s="1"/>
      <c r="Y971" s="1"/>
    </row>
    <row r="972">
      <c r="O972" s="1"/>
      <c r="T972" s="1"/>
      <c r="Y972" s="1"/>
    </row>
    <row r="973">
      <c r="O973" s="1"/>
      <c r="T973" s="1"/>
      <c r="Y973" s="1"/>
    </row>
    <row r="974">
      <c r="O974" s="1"/>
      <c r="T974" s="1"/>
      <c r="Y974" s="1"/>
    </row>
    <row r="975">
      <c r="O975" s="1"/>
      <c r="T975" s="1"/>
      <c r="Y975" s="1"/>
    </row>
    <row r="976">
      <c r="O976" s="1"/>
      <c r="T976" s="1"/>
      <c r="Y976" s="1"/>
    </row>
    <row r="977">
      <c r="O977" s="1"/>
      <c r="T977" s="1"/>
      <c r="Y977" s="1"/>
    </row>
    <row r="978">
      <c r="O978" s="1"/>
      <c r="T978" s="1"/>
      <c r="Y978" s="1"/>
    </row>
    <row r="979">
      <c r="O979" s="1"/>
      <c r="T979" s="1"/>
      <c r="Y979" s="1"/>
    </row>
    <row r="980">
      <c r="O980" s="1"/>
      <c r="T980" s="1"/>
      <c r="Y980" s="1"/>
    </row>
    <row r="981">
      <c r="O981" s="1"/>
      <c r="T981" s="1"/>
      <c r="Y981" s="1"/>
    </row>
    <row r="982">
      <c r="O982" s="1"/>
      <c r="T982" s="1"/>
      <c r="Y982" s="1"/>
    </row>
    <row r="983">
      <c r="O983" s="1"/>
      <c r="T983" s="1"/>
      <c r="Y983" s="1"/>
    </row>
    <row r="984">
      <c r="O984" s="1"/>
      <c r="T984" s="1"/>
      <c r="Y984" s="1"/>
    </row>
    <row r="985">
      <c r="O985" s="1"/>
      <c r="T985" s="1"/>
      <c r="Y985" s="1"/>
    </row>
    <row r="986">
      <c r="O986" s="1"/>
      <c r="T986" s="1"/>
      <c r="Y986" s="1"/>
    </row>
    <row r="987">
      <c r="O987" s="1"/>
      <c r="T987" s="1"/>
      <c r="Y987" s="1"/>
    </row>
    <row r="988">
      <c r="O988" s="1"/>
      <c r="T988" s="1"/>
      <c r="Y988" s="1"/>
    </row>
    <row r="989">
      <c r="O989" s="1"/>
      <c r="T989" s="1"/>
      <c r="Y989" s="1"/>
    </row>
    <row r="990">
      <c r="O990" s="1"/>
      <c r="T990" s="1"/>
      <c r="Y990" s="1"/>
    </row>
    <row r="991">
      <c r="O991" s="1"/>
      <c r="T991" s="1"/>
      <c r="Y991" s="1"/>
    </row>
    <row r="992">
      <c r="O992" s="1"/>
      <c r="T992" s="1"/>
      <c r="Y992" s="1"/>
    </row>
    <row r="993">
      <c r="O993" s="1"/>
      <c r="T993" s="1"/>
      <c r="Y993" s="1"/>
    </row>
    <row r="994">
      <c r="O994" s="1"/>
      <c r="T994" s="1"/>
      <c r="Y994" s="1"/>
    </row>
    <row r="995">
      <c r="O995" s="1"/>
      <c r="T995" s="1"/>
      <c r="Y995" s="1"/>
    </row>
    <row r="996">
      <c r="O996" s="1"/>
      <c r="T996" s="1"/>
      <c r="Y996" s="1"/>
    </row>
    <row r="997">
      <c r="O997" s="1"/>
      <c r="T997" s="1"/>
      <c r="Y997" s="1"/>
    </row>
    <row r="998">
      <c r="O998" s="1"/>
      <c r="T998" s="1"/>
      <c r="Y998" s="1"/>
    </row>
    <row r="999">
      <c r="O999" s="1"/>
      <c r="T999" s="1"/>
      <c r="Y999" s="1"/>
    </row>
    <row r="1000">
      <c r="O1000" s="1"/>
      <c r="T1000" s="1"/>
      <c r="Y1000" s="1"/>
    </row>
    <row r="1001">
      <c r="O1001" s="1"/>
      <c r="T1001" s="1"/>
      <c r="Y1001" s="1"/>
    </row>
    <row r="1002">
      <c r="O1002" s="1"/>
      <c r="T1002" s="1"/>
      <c r="Y1002" s="1"/>
    </row>
  </sheetData>
  <mergeCells count="4">
    <mergeCell ref="M3:Q3"/>
    <mergeCell ref="R3:V3"/>
    <mergeCell ref="W3:AA3"/>
    <mergeCell ref="K5:K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0">
      <c r="H10" s="82"/>
      <c r="I10" s="83"/>
      <c r="J10" s="83"/>
      <c r="K10" s="83"/>
    </row>
    <row r="11">
      <c r="H11" s="84"/>
      <c r="I11" s="85"/>
      <c r="J11" s="85"/>
      <c r="K11" s="85"/>
    </row>
    <row r="12">
      <c r="H12" s="84"/>
      <c r="I12" s="85"/>
      <c r="J12" s="85"/>
      <c r="K12" s="85"/>
    </row>
    <row r="13">
      <c r="H13" s="84"/>
      <c r="I13" s="85"/>
      <c r="J13" s="85"/>
      <c r="K13" s="85"/>
    </row>
    <row r="14">
      <c r="H14" s="84"/>
      <c r="I14" s="85"/>
      <c r="J14" s="85"/>
      <c r="K14" s="8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5.63"/>
    <col customWidth="1" min="5" max="5" width="24.25"/>
  </cols>
  <sheetData>
    <row r="4">
      <c r="B4" s="69"/>
      <c r="C4" s="69"/>
      <c r="D4" s="69"/>
      <c r="E4" s="69" t="s">
        <v>451</v>
      </c>
      <c r="F4" s="69" t="s">
        <v>452</v>
      </c>
      <c r="G4" s="69" t="s">
        <v>453</v>
      </c>
      <c r="H4" s="69" t="s">
        <v>454</v>
      </c>
      <c r="I4" s="69" t="s">
        <v>455</v>
      </c>
      <c r="J4" s="69" t="s">
        <v>456</v>
      </c>
      <c r="K4" s="69" t="s">
        <v>457</v>
      </c>
    </row>
    <row r="5">
      <c r="B5" s="86" t="s">
        <v>458</v>
      </c>
      <c r="C5" s="86" t="s">
        <v>459</v>
      </c>
      <c r="D5" s="87" t="s">
        <v>460</v>
      </c>
      <c r="E5" s="88" t="s">
        <v>461</v>
      </c>
      <c r="F5" s="88" t="s">
        <v>462</v>
      </c>
      <c r="G5" s="89" t="s">
        <v>463</v>
      </c>
      <c r="H5" s="89" t="s">
        <v>463</v>
      </c>
      <c r="I5" s="89" t="s">
        <v>463</v>
      </c>
      <c r="J5" s="89" t="s">
        <v>463</v>
      </c>
      <c r="K5" s="89" t="s">
        <v>463</v>
      </c>
    </row>
    <row r="6">
      <c r="B6" s="69"/>
      <c r="C6" s="86" t="s">
        <v>464</v>
      </c>
      <c r="D6" s="86" t="s">
        <v>460</v>
      </c>
      <c r="E6" s="69" t="s">
        <v>465</v>
      </c>
      <c r="F6" s="69" t="s">
        <v>466</v>
      </c>
      <c r="G6" s="89" t="s">
        <v>463</v>
      </c>
      <c r="H6" s="89" t="s">
        <v>463</v>
      </c>
      <c r="I6" s="89" t="s">
        <v>463</v>
      </c>
      <c r="J6" s="89" t="s">
        <v>463</v>
      </c>
      <c r="K6" s="89" t="s">
        <v>463</v>
      </c>
    </row>
    <row r="7">
      <c r="B7" s="69"/>
      <c r="C7" s="86" t="s">
        <v>467</v>
      </c>
      <c r="D7" s="86" t="s">
        <v>468</v>
      </c>
      <c r="E7" s="69" t="s">
        <v>469</v>
      </c>
      <c r="F7" s="69" t="s">
        <v>470</v>
      </c>
      <c r="G7" s="69" t="s">
        <v>471</v>
      </c>
      <c r="H7" s="69" t="s">
        <v>472</v>
      </c>
      <c r="I7" s="69" t="s">
        <v>473</v>
      </c>
      <c r="J7" s="69" t="s">
        <v>474</v>
      </c>
      <c r="K7" s="69" t="s">
        <v>475</v>
      </c>
    </row>
    <row r="8">
      <c r="B8" s="69"/>
      <c r="C8" s="86" t="s">
        <v>476</v>
      </c>
      <c r="D8" s="86" t="s">
        <v>477</v>
      </c>
      <c r="E8" s="69" t="s">
        <v>478</v>
      </c>
      <c r="F8" s="69" t="s">
        <v>479</v>
      </c>
      <c r="G8" s="89" t="s">
        <v>463</v>
      </c>
      <c r="H8" s="89" t="s">
        <v>463</v>
      </c>
      <c r="I8" s="89" t="s">
        <v>463</v>
      </c>
      <c r="J8" s="89" t="s">
        <v>463</v>
      </c>
      <c r="K8" s="69" t="s">
        <v>480</v>
      </c>
    </row>
    <row r="9">
      <c r="B9" s="86" t="s">
        <v>481</v>
      </c>
      <c r="D9" s="86"/>
      <c r="E9" s="89"/>
      <c r="F9" s="89"/>
      <c r="G9" s="89"/>
      <c r="H9" s="89"/>
      <c r="I9" s="89"/>
      <c r="J9" s="89"/>
      <c r="K9" s="69"/>
    </row>
    <row r="10">
      <c r="B10" s="69"/>
      <c r="C10" s="86" t="s">
        <v>482</v>
      </c>
      <c r="D10" s="86" t="s">
        <v>477</v>
      </c>
      <c r="E10" s="89" t="s">
        <v>463</v>
      </c>
      <c r="F10" s="89" t="s">
        <v>463</v>
      </c>
      <c r="G10" s="89" t="s">
        <v>463</v>
      </c>
      <c r="H10" s="89" t="s">
        <v>463</v>
      </c>
      <c r="I10" s="89" t="s">
        <v>463</v>
      </c>
      <c r="J10" s="69" t="s">
        <v>483</v>
      </c>
      <c r="K10" s="89" t="s">
        <v>463</v>
      </c>
    </row>
    <row r="11">
      <c r="B11" s="69"/>
      <c r="C11" s="86" t="s">
        <v>484</v>
      </c>
      <c r="D11" s="86" t="s">
        <v>485</v>
      </c>
      <c r="E11" s="90" t="s">
        <v>486</v>
      </c>
      <c r="F11" s="89" t="s">
        <v>463</v>
      </c>
      <c r="G11" s="89" t="s">
        <v>463</v>
      </c>
      <c r="H11" s="89" t="s">
        <v>463</v>
      </c>
      <c r="I11" s="89" t="s">
        <v>463</v>
      </c>
      <c r="J11" s="89" t="s">
        <v>463</v>
      </c>
      <c r="K11" s="89" t="s">
        <v>463</v>
      </c>
    </row>
    <row r="12">
      <c r="B12" s="69"/>
      <c r="C12" s="86" t="s">
        <v>487</v>
      </c>
      <c r="D12" s="86" t="s">
        <v>488</v>
      </c>
      <c r="E12" s="89" t="s">
        <v>463</v>
      </c>
      <c r="F12" s="89" t="s">
        <v>463</v>
      </c>
      <c r="G12" s="89" t="s">
        <v>463</v>
      </c>
      <c r="H12" s="89" t="s">
        <v>463</v>
      </c>
      <c r="I12" s="89" t="s">
        <v>463</v>
      </c>
      <c r="J12" s="90" t="s">
        <v>489</v>
      </c>
      <c r="K12" s="89" t="s">
        <v>463</v>
      </c>
    </row>
    <row r="13">
      <c r="B13" s="69"/>
      <c r="C13" s="86" t="s">
        <v>490</v>
      </c>
      <c r="D13" s="86" t="s">
        <v>488</v>
      </c>
      <c r="E13" s="69" t="s">
        <v>491</v>
      </c>
      <c r="F13" s="69" t="s">
        <v>492</v>
      </c>
      <c r="G13" s="69" t="s">
        <v>493</v>
      </c>
      <c r="H13" s="69" t="s">
        <v>494</v>
      </c>
      <c r="I13" s="69" t="s">
        <v>495</v>
      </c>
      <c r="J13" s="69" t="s">
        <v>496</v>
      </c>
      <c r="K13" s="69" t="s">
        <v>497</v>
      </c>
    </row>
    <row r="20">
      <c r="E20" s="2" t="s">
        <v>498</v>
      </c>
    </row>
    <row r="21">
      <c r="C21" s="91" t="s">
        <v>499</v>
      </c>
      <c r="E21" s="2" t="s">
        <v>500</v>
      </c>
    </row>
    <row r="23">
      <c r="B23" s="2" t="s">
        <v>501</v>
      </c>
    </row>
    <row r="24">
      <c r="B24" s="2" t="s">
        <v>502</v>
      </c>
    </row>
    <row r="25">
      <c r="C25" s="69"/>
      <c r="D25" s="92" t="s">
        <v>503</v>
      </c>
      <c r="E25" s="69" t="s">
        <v>451</v>
      </c>
      <c r="F25" s="69" t="s">
        <v>452</v>
      </c>
      <c r="G25" s="69" t="s">
        <v>456</v>
      </c>
    </row>
    <row r="26">
      <c r="C26" s="86" t="s">
        <v>459</v>
      </c>
      <c r="D26" s="91" t="s">
        <v>504</v>
      </c>
      <c r="E26" s="93">
        <v>0.6956</v>
      </c>
      <c r="F26" s="93">
        <v>0.8503</v>
      </c>
    </row>
    <row r="27">
      <c r="C27" s="86" t="s">
        <v>464</v>
      </c>
      <c r="D27" s="91" t="s">
        <v>504</v>
      </c>
      <c r="E27" s="94">
        <v>0.674</v>
      </c>
      <c r="F27" s="94">
        <v>0.843</v>
      </c>
    </row>
    <row r="28">
      <c r="C28" s="86" t="s">
        <v>467</v>
      </c>
      <c r="D28" s="91" t="s">
        <v>504</v>
      </c>
      <c r="E28" s="94">
        <v>0.652</v>
      </c>
      <c r="F28" s="94">
        <v>0.835</v>
      </c>
    </row>
    <row r="29">
      <c r="C29" s="86" t="s">
        <v>476</v>
      </c>
      <c r="D29" s="91" t="s">
        <v>505</v>
      </c>
      <c r="E29" s="94">
        <v>0.2041</v>
      </c>
      <c r="F29" s="95">
        <v>0.65</v>
      </c>
    </row>
    <row r="30">
      <c r="C30" s="86" t="s">
        <v>490</v>
      </c>
      <c r="D30" s="91" t="s">
        <v>506</v>
      </c>
      <c r="E30" s="94">
        <v>0.316</v>
      </c>
      <c r="F30" s="94">
        <v>0.826</v>
      </c>
    </row>
    <row r="31">
      <c r="C31" s="86"/>
      <c r="D31" s="86"/>
      <c r="E31" s="86"/>
      <c r="F31" s="86"/>
    </row>
    <row r="32">
      <c r="C32" s="86" t="s">
        <v>482</v>
      </c>
      <c r="D32" s="91" t="s">
        <v>507</v>
      </c>
      <c r="E32" s="86"/>
      <c r="F32" s="86"/>
      <c r="G32" s="94">
        <v>0.487</v>
      </c>
    </row>
    <row r="33">
      <c r="C33" s="86" t="s">
        <v>484</v>
      </c>
      <c r="D33" s="92" t="s">
        <v>508</v>
      </c>
      <c r="E33" s="96">
        <v>76.6</v>
      </c>
      <c r="F33" s="86"/>
    </row>
    <row r="34">
      <c r="C34" s="86" t="s">
        <v>487</v>
      </c>
      <c r="D34" s="2" t="s">
        <v>507</v>
      </c>
      <c r="G34" s="97">
        <v>0.59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5" max="15" width="32.88"/>
  </cols>
  <sheetData>
    <row r="6">
      <c r="B6" s="2" t="s">
        <v>509</v>
      </c>
      <c r="F6" s="2" t="s">
        <v>444</v>
      </c>
    </row>
    <row r="7">
      <c r="F7" s="3" t="s">
        <v>2</v>
      </c>
    </row>
    <row r="8">
      <c r="D8" s="4"/>
      <c r="E8" s="3" t="s">
        <v>9</v>
      </c>
      <c r="F8" s="3" t="s">
        <v>10</v>
      </c>
      <c r="G8" s="3" t="s">
        <v>12</v>
      </c>
      <c r="H8" s="3" t="s">
        <v>13</v>
      </c>
      <c r="I8" s="3" t="s">
        <v>14</v>
      </c>
    </row>
    <row r="9">
      <c r="D9" s="6" t="s">
        <v>19</v>
      </c>
      <c r="E9" s="7" t="s">
        <v>510</v>
      </c>
      <c r="F9" s="8">
        <v>12.19</v>
      </c>
      <c r="G9" s="9">
        <v>1.98</v>
      </c>
      <c r="H9" s="98"/>
      <c r="I9" s="9">
        <v>11.29</v>
      </c>
      <c r="O9" s="2" t="s">
        <v>511</v>
      </c>
      <c r="P9" s="2">
        <v>39000.0</v>
      </c>
    </row>
    <row r="10">
      <c r="E10" s="3" t="s">
        <v>512</v>
      </c>
      <c r="F10" s="2">
        <v>39.26</v>
      </c>
      <c r="G10" s="2">
        <v>23.98</v>
      </c>
      <c r="I10" s="2">
        <v>28.05</v>
      </c>
      <c r="O10" s="2" t="s">
        <v>513</v>
      </c>
      <c r="P10" s="2">
        <v>2.5</v>
      </c>
    </row>
    <row r="11">
      <c r="D11" s="18"/>
      <c r="E11" s="19" t="s">
        <v>514</v>
      </c>
      <c r="F11" s="99"/>
      <c r="G11" s="99"/>
      <c r="H11" s="99"/>
      <c r="I11" s="99"/>
    </row>
    <row r="12">
      <c r="D12" s="4"/>
      <c r="E12" s="3" t="s">
        <v>515</v>
      </c>
      <c r="F12" s="2">
        <v>16.89</v>
      </c>
      <c r="G12" s="24">
        <v>5.77</v>
      </c>
      <c r="I12" s="2">
        <v>12.09</v>
      </c>
      <c r="O12" s="3" t="s">
        <v>516</v>
      </c>
      <c r="P12" s="4">
        <f>P9*P10/60/60</f>
        <v>27.08333333</v>
      </c>
    </row>
    <row r="13">
      <c r="D13" s="4"/>
      <c r="E13" s="3" t="s">
        <v>27</v>
      </c>
      <c r="F13" s="2">
        <v>35.28</v>
      </c>
      <c r="G13" s="2">
        <v>23.84</v>
      </c>
      <c r="I13" s="2">
        <v>24.52</v>
      </c>
    </row>
    <row r="14">
      <c r="D14" s="2" t="s">
        <v>29</v>
      </c>
      <c r="E14" s="100" t="s">
        <v>30</v>
      </c>
      <c r="F14" s="101">
        <v>35.65</v>
      </c>
      <c r="G14" s="101">
        <v>24.13</v>
      </c>
      <c r="H14" s="75"/>
      <c r="I14" s="101">
        <v>24.06</v>
      </c>
    </row>
    <row r="17">
      <c r="O17" s="2" t="s">
        <v>517</v>
      </c>
      <c r="P17" s="2">
        <v>10.0</v>
      </c>
    </row>
  </sheetData>
  <mergeCells count="2">
    <mergeCell ref="F7:I7"/>
    <mergeCell ref="D9:D11"/>
  </mergeCells>
  <drawing r:id="rId1"/>
</worksheet>
</file>